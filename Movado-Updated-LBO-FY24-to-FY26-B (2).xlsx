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yjmsayw_ucl_ac_uk/Documents/Year Abroad/PE&amp;VC/"/>
    </mc:Choice>
  </mc:AlternateContent>
  <xr:revisionPtr revIDLastSave="169" documentId="8_{02FEE2D3-71D7-4F31-8364-0AFAA02641F7}" xr6:coauthVersionLast="47" xr6:coauthVersionMax="47" xr10:uidLastSave="{DF4E5499-E477-4DA0-A078-C50239AC74AA}"/>
  <bookViews>
    <workbookView xWindow="-120" yWindow="-120" windowWidth="20730" windowHeight="11160" firstSheet="7" activeTab="7" xr2:uid="{97730A1C-ECE4-41FF-8A4C-82E69050C005}"/>
  </bookViews>
  <sheets>
    <sheet name="Company description" sheetId="1" r:id="rId1"/>
    <sheet name="P&amp;L" sheetId="2" r:id="rId2"/>
    <sheet name="Balance sheet" sheetId="3" r:id="rId3"/>
    <sheet name="Cash flows" sheetId="4" r:id="rId4"/>
    <sheet name="Transaction assumptions" sheetId="5" r:id="rId5"/>
    <sheet name="Historical EV_EBITDA (deals)" sheetId="6" r:id="rId6"/>
    <sheet name="Public EV_EBITDA (public)" sheetId="7" r:id="rId7"/>
    <sheet name="Calculations &amp; S&amp;U" sheetId="8" r:id="rId8"/>
    <sheet name="P&amp;L forecast" sheetId="12" r:id="rId9"/>
    <sheet name="Debt" sheetId="13" r:id="rId10"/>
    <sheet name="WC &amp; CAPEX" sheetId="16" r:id="rId11"/>
    <sheet name="CF forecast" sheetId="17" r:id="rId12"/>
    <sheet name="Returns" sheetId="14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2" l="1"/>
  <c r="B15" i="12"/>
  <c r="B12" i="8"/>
  <c r="F3" i="7"/>
  <c r="B5" i="8"/>
  <c r="F4" i="8"/>
  <c r="G4" i="8"/>
  <c r="B3" i="8"/>
  <c r="B5" i="12" l="1"/>
  <c r="C5" i="12"/>
  <c r="C6" i="12" s="1"/>
  <c r="B9" i="12"/>
  <c r="B8" i="12" s="1"/>
  <c r="C9" i="12"/>
  <c r="C10" i="12"/>
  <c r="B12" i="12"/>
  <c r="C12" i="12"/>
  <c r="E14" i="12"/>
  <c r="F14" i="12" s="1"/>
  <c r="G14" i="12" s="1"/>
  <c r="H14" i="12" s="1"/>
  <c r="B18" i="12"/>
  <c r="B19" i="12" s="1"/>
  <c r="B20" i="12" s="1"/>
  <c r="C18" i="12"/>
  <c r="D18" i="12"/>
  <c r="B22" i="12"/>
  <c r="C22" i="12"/>
  <c r="B25" i="12"/>
  <c r="C25" i="12"/>
  <c r="D25" i="12"/>
  <c r="E25" i="12"/>
  <c r="F25" i="12"/>
  <c r="G25" i="12"/>
  <c r="H25" i="12"/>
  <c r="D29" i="12"/>
  <c r="E29" i="12" s="1"/>
  <c r="C14" i="4"/>
  <c r="B14" i="4"/>
  <c r="D13" i="4"/>
  <c r="D12" i="4"/>
  <c r="C11" i="4"/>
  <c r="D11" i="4" s="1"/>
  <c r="D9" i="4"/>
  <c r="D8" i="4"/>
  <c r="D7" i="4"/>
  <c r="D6" i="4"/>
  <c r="C4" i="4" a="1"/>
  <c r="C4" i="4" s="1"/>
  <c r="D4" i="4" s="1"/>
  <c r="B4" i="4" a="1"/>
  <c r="B4" i="4" s="1"/>
  <c r="D2" i="4"/>
  <c r="D35" i="3"/>
  <c r="A32" i="3"/>
  <c r="A31" i="3"/>
  <c r="C29" i="3"/>
  <c r="C14" i="17" s="1"/>
  <c r="B14" i="14" s="1"/>
  <c r="B29" i="3"/>
  <c r="A29" i="3"/>
  <c r="D28" i="3"/>
  <c r="C28" i="3"/>
  <c r="B28" i="13" s="1"/>
  <c r="C26" i="13" s="1"/>
  <c r="B28" i="3"/>
  <c r="D26" i="3"/>
  <c r="C26" i="3"/>
  <c r="C35" i="3" s="1"/>
  <c r="B26" i="3"/>
  <c r="B35" i="3" s="1"/>
  <c r="D18" i="3"/>
  <c r="D17" i="3"/>
  <c r="D16" i="3"/>
  <c r="D12" i="3"/>
  <c r="D11" i="3"/>
  <c r="D10" i="3"/>
  <c r="C9" i="3"/>
  <c r="D8" i="3"/>
  <c r="C8" i="3"/>
  <c r="B8" i="3"/>
  <c r="B9" i="3" s="1"/>
  <c r="D7" i="3"/>
  <c r="D9" i="3" s="1"/>
  <c r="D6" i="3"/>
  <c r="D5" i="3"/>
  <c r="D4" i="3"/>
  <c r="D3" i="3"/>
  <c r="D2" i="3"/>
  <c r="D29" i="3" s="1"/>
  <c r="D30" i="3" s="1"/>
  <c r="D33" i="3" s="1"/>
  <c r="D36" i="3" s="1"/>
  <c r="D24" i="2"/>
  <c r="C24" i="2"/>
  <c r="B24" i="2"/>
  <c r="A24" i="2"/>
  <c r="B23" i="2"/>
  <c r="B25" i="2" s="1"/>
  <c r="A23" i="2"/>
  <c r="A22" i="2"/>
  <c r="C20" i="2"/>
  <c r="C25" i="2" s="1"/>
  <c r="B20" i="2"/>
  <c r="D11" i="2"/>
  <c r="D10" i="2"/>
  <c r="C10" i="2"/>
  <c r="B10" i="2"/>
  <c r="D9" i="2"/>
  <c r="D8" i="2"/>
  <c r="D7" i="2"/>
  <c r="D6" i="2"/>
  <c r="D5" i="2"/>
  <c r="D12" i="12" s="1"/>
  <c r="D4" i="2"/>
  <c r="D9" i="12" s="1"/>
  <c r="D3" i="2"/>
  <c r="D2" i="2"/>
  <c r="D5" i="12" s="1"/>
  <c r="C25" i="14"/>
  <c r="D25" i="14"/>
  <c r="E25" i="14"/>
  <c r="F25" i="14"/>
  <c r="C8" i="12" l="1"/>
  <c r="D8" i="12"/>
  <c r="D22" i="12"/>
  <c r="E22" i="12" s="1"/>
  <c r="F22" i="12" s="1"/>
  <c r="G22" i="12" s="1"/>
  <c r="H22" i="12" s="1"/>
  <c r="D10" i="12"/>
  <c r="E10" i="12" s="1"/>
  <c r="D14" i="4"/>
  <c r="D20" i="2"/>
  <c r="E5" i="12"/>
  <c r="F5" i="12" s="1"/>
  <c r="G5" i="12" s="1"/>
  <c r="H5" i="12" s="1"/>
  <c r="D6" i="12"/>
  <c r="B10" i="12"/>
  <c r="C19" i="12"/>
  <c r="C20" i="12" s="1"/>
  <c r="C16" i="12"/>
  <c r="C23" i="12"/>
  <c r="F29" i="12"/>
  <c r="B16" i="12"/>
  <c r="D13" i="12"/>
  <c r="B23" i="12"/>
  <c r="C13" i="12"/>
  <c r="C30" i="13"/>
  <c r="C28" i="13"/>
  <c r="C27" i="13"/>
  <c r="B30" i="3"/>
  <c r="B33" i="3" s="1"/>
  <c r="B36" i="3" s="1"/>
  <c r="C30" i="3"/>
  <c r="C33" i="3" s="1"/>
  <c r="C36" i="3" s="1"/>
  <c r="D28" i="16"/>
  <c r="C28" i="16"/>
  <c r="B28" i="16"/>
  <c r="C17" i="16"/>
  <c r="B17" i="16"/>
  <c r="C15" i="16"/>
  <c r="B15" i="16"/>
  <c r="C13" i="16"/>
  <c r="B13" i="16"/>
  <c r="C11" i="16"/>
  <c r="B11" i="16"/>
  <c r="C9" i="16"/>
  <c r="C20" i="16" s="1"/>
  <c r="B9" i="16"/>
  <c r="D25" i="2" l="1"/>
  <c r="D15" i="12"/>
  <c r="E9" i="12"/>
  <c r="F10" i="12"/>
  <c r="F9" i="12" s="1"/>
  <c r="E13" i="12"/>
  <c r="F13" i="12" s="1"/>
  <c r="G13" i="12" s="1"/>
  <c r="H13" i="12" s="1"/>
  <c r="E8" i="12"/>
  <c r="G29" i="12"/>
  <c r="C27" i="12"/>
  <c r="C30" i="12"/>
  <c r="B27" i="12"/>
  <c r="B30" i="12"/>
  <c r="G10" i="12"/>
  <c r="D8" i="17"/>
  <c r="D9" i="17" s="1"/>
  <c r="E28" i="16"/>
  <c r="B20" i="16"/>
  <c r="C22" i="16" s="1"/>
  <c r="E15" i="12" l="1"/>
  <c r="D19" i="12"/>
  <c r="D20" i="12" s="1"/>
  <c r="D16" i="12"/>
  <c r="D23" i="12"/>
  <c r="D30" i="12" s="1"/>
  <c r="B31" i="12"/>
  <c r="E12" i="12"/>
  <c r="H29" i="12"/>
  <c r="C31" i="12"/>
  <c r="G9" i="12"/>
  <c r="H10" i="12"/>
  <c r="H9" i="12" s="1"/>
  <c r="F8" i="12"/>
  <c r="E8" i="17"/>
  <c r="E9" i="17" s="1"/>
  <c r="F28" i="16"/>
  <c r="D5" i="17"/>
  <c r="C7" i="16"/>
  <c r="B7" i="16"/>
  <c r="B20" i="8"/>
  <c r="F7" i="7"/>
  <c r="C14" i="6"/>
  <c r="B9" i="8"/>
  <c r="B39" i="8" s="1"/>
  <c r="B6" i="13"/>
  <c r="F15" i="12" l="1"/>
  <c r="E16" i="12"/>
  <c r="F12" i="12"/>
  <c r="G8" i="12"/>
  <c r="H8" i="12"/>
  <c r="F8" i="17"/>
  <c r="F9" i="17" s="1"/>
  <c r="G28" i="16"/>
  <c r="B16" i="13"/>
  <c r="C14" i="13"/>
  <c r="D10" i="17" s="1"/>
  <c r="G14" i="13"/>
  <c r="F14" i="13"/>
  <c r="G10" i="17" s="1"/>
  <c r="E14" i="13"/>
  <c r="F10" i="17" s="1"/>
  <c r="D14" i="13"/>
  <c r="E10" i="17" s="1"/>
  <c r="G15" i="13"/>
  <c r="E7" i="16"/>
  <c r="B12" i="16"/>
  <c r="B10" i="16"/>
  <c r="B14" i="16"/>
  <c r="B16" i="16"/>
  <c r="B18" i="16"/>
  <c r="B21" i="16"/>
  <c r="D7" i="16"/>
  <c r="C14" i="16"/>
  <c r="D14" i="16" s="1"/>
  <c r="C18" i="16"/>
  <c r="D18" i="16" s="1"/>
  <c r="C16" i="16"/>
  <c r="D16" i="16" s="1"/>
  <c r="C12" i="16"/>
  <c r="D12" i="16" s="1"/>
  <c r="C10" i="16"/>
  <c r="D10" i="16" s="1"/>
  <c r="C21" i="16"/>
  <c r="F16" i="12" l="1"/>
  <c r="G15" i="12"/>
  <c r="B17" i="8"/>
  <c r="B5" i="5"/>
  <c r="B23" i="8" s="1"/>
  <c r="B37" i="8" s="1"/>
  <c r="H10" i="17"/>
  <c r="E19" i="12"/>
  <c r="E20" i="12" s="1"/>
  <c r="E23" i="12"/>
  <c r="G12" i="12"/>
  <c r="G8" i="17"/>
  <c r="G9" i="17" s="1"/>
  <c r="H28" i="16"/>
  <c r="H8" i="17" s="1"/>
  <c r="H9" i="17" s="1"/>
  <c r="B11" i="14"/>
  <c r="D9" i="16"/>
  <c r="E10" i="16"/>
  <c r="F10" i="16" s="1"/>
  <c r="G10" i="16" s="1"/>
  <c r="H10" i="16" s="1"/>
  <c r="E14" i="16"/>
  <c r="F14" i="16" s="1"/>
  <c r="G14" i="16" s="1"/>
  <c r="H14" i="16" s="1"/>
  <c r="D13" i="16"/>
  <c r="E12" i="16"/>
  <c r="F12" i="16" s="1"/>
  <c r="G12" i="16" s="1"/>
  <c r="H12" i="16" s="1"/>
  <c r="D11" i="16"/>
  <c r="E16" i="16"/>
  <c r="F16" i="16" s="1"/>
  <c r="G16" i="16" s="1"/>
  <c r="H16" i="16" s="1"/>
  <c r="D15" i="16"/>
  <c r="C11" i="14"/>
  <c r="C12" i="14" s="1"/>
  <c r="E18" i="16"/>
  <c r="F18" i="16" s="1"/>
  <c r="G18" i="16" s="1"/>
  <c r="H18" i="16" s="1"/>
  <c r="D17" i="16"/>
  <c r="C13" i="13"/>
  <c r="C16" i="13" s="1"/>
  <c r="C18" i="13" s="1"/>
  <c r="D26" i="12" s="1"/>
  <c r="D27" i="12" s="1"/>
  <c r="D31" i="12" s="1"/>
  <c r="B13" i="14"/>
  <c r="B15" i="14" s="1"/>
  <c r="E9" i="16"/>
  <c r="E17" i="16"/>
  <c r="E15" i="16"/>
  <c r="F7" i="16"/>
  <c r="B30" i="8"/>
  <c r="B35" i="8"/>
  <c r="B8" i="8"/>
  <c r="B10" i="8"/>
  <c r="B13" i="8" s="1"/>
  <c r="H15" i="12" l="1"/>
  <c r="H16" i="12" s="1"/>
  <c r="G16" i="12"/>
  <c r="H12" i="12"/>
  <c r="E30" i="12"/>
  <c r="F19" i="12"/>
  <c r="F20" i="12" s="1"/>
  <c r="F23" i="12"/>
  <c r="E13" i="16"/>
  <c r="D20" i="16"/>
  <c r="D21" i="16" s="1"/>
  <c r="D11" i="17"/>
  <c r="D12" i="17" s="1"/>
  <c r="D13" i="13"/>
  <c r="D16" i="13" s="1"/>
  <c r="D18" i="13" s="1"/>
  <c r="E26" i="12" s="1"/>
  <c r="E27" i="12" s="1"/>
  <c r="C13" i="14"/>
  <c r="E11" i="16"/>
  <c r="B16" i="14"/>
  <c r="F9" i="16"/>
  <c r="F15" i="16"/>
  <c r="F17" i="16"/>
  <c r="F13" i="16"/>
  <c r="F11" i="16"/>
  <c r="H7" i="16"/>
  <c r="G7" i="16"/>
  <c r="B14" i="8"/>
  <c r="B18" i="8"/>
  <c r="B19" i="8" s="1"/>
  <c r="B29" i="8"/>
  <c r="B38" i="8"/>
  <c r="E31" i="12" l="1"/>
  <c r="F30" i="12"/>
  <c r="G23" i="12"/>
  <c r="G19" i="12"/>
  <c r="G20" i="12" s="1"/>
  <c r="H23" i="12"/>
  <c r="H19" i="12"/>
  <c r="H20" i="12" s="1"/>
  <c r="D22" i="16"/>
  <c r="D6" i="17" s="1"/>
  <c r="D7" i="17" s="1"/>
  <c r="D13" i="17" s="1"/>
  <c r="D14" i="17" s="1"/>
  <c r="C14" i="14" s="1"/>
  <c r="C15" i="14" s="1"/>
  <c r="E20" i="16"/>
  <c r="E21" i="16" s="1"/>
  <c r="E11" i="17"/>
  <c r="E12" i="17" s="1"/>
  <c r="D13" i="14"/>
  <c r="E13" i="13"/>
  <c r="E16" i="13" s="1"/>
  <c r="E18" i="13"/>
  <c r="F26" i="12" s="1"/>
  <c r="F27" i="12" s="1"/>
  <c r="G9" i="16"/>
  <c r="G17" i="16"/>
  <c r="G15" i="16"/>
  <c r="G13" i="16"/>
  <c r="G11" i="16"/>
  <c r="H9" i="16"/>
  <c r="H17" i="16"/>
  <c r="H11" i="16"/>
  <c r="H13" i="16"/>
  <c r="H15" i="16"/>
  <c r="E5" i="17"/>
  <c r="F20" i="16"/>
  <c r="B21" i="8"/>
  <c r="E22" i="16" l="1"/>
  <c r="E6" i="17" s="1"/>
  <c r="G30" i="12"/>
  <c r="H30" i="12"/>
  <c r="F31" i="12"/>
  <c r="F11" i="17"/>
  <c r="F12" i="17" s="1"/>
  <c r="F13" i="13"/>
  <c r="F16" i="13" s="1"/>
  <c r="E13" i="14"/>
  <c r="C16" i="14"/>
  <c r="C17" i="14"/>
  <c r="C18" i="14" s="1"/>
  <c r="E7" i="17"/>
  <c r="E13" i="17" s="1"/>
  <c r="E14" i="17" s="1"/>
  <c r="D14" i="14" s="1"/>
  <c r="D15" i="14" s="1"/>
  <c r="H20" i="16"/>
  <c r="F22" i="16"/>
  <c r="F6" i="17" s="1"/>
  <c r="F21" i="16"/>
  <c r="G20" i="16"/>
  <c r="D11" i="14"/>
  <c r="D12" i="14" s="1"/>
  <c r="F5" i="17"/>
  <c r="B24" i="8"/>
  <c r="B3" i="14" s="1"/>
  <c r="B21" i="14" s="1"/>
  <c r="B25" i="14" s="1"/>
  <c r="B34" i="8"/>
  <c r="B22" i="8"/>
  <c r="D16" i="14" l="1"/>
  <c r="F13" i="14"/>
  <c r="G13" i="13"/>
  <c r="F18" i="13"/>
  <c r="G26" i="12" s="1"/>
  <c r="G27" i="12" s="1"/>
  <c r="G31" i="12" s="1"/>
  <c r="H22" i="16"/>
  <c r="H6" i="17" s="1"/>
  <c r="H21" i="16"/>
  <c r="G5" i="17"/>
  <c r="G22" i="16"/>
  <c r="G6" i="17" s="1"/>
  <c r="G21" i="16"/>
  <c r="E11" i="14"/>
  <c r="E12" i="14" s="1"/>
  <c r="F7" i="17"/>
  <c r="F13" i="17" s="1"/>
  <c r="F14" i="17" s="1"/>
  <c r="H5" i="17"/>
  <c r="D17" i="14"/>
  <c r="D18" i="14" s="1"/>
  <c r="B27" i="8"/>
  <c r="B28" i="8"/>
  <c r="B36" i="8"/>
  <c r="B40" i="8" s="1"/>
  <c r="G11" i="17" l="1"/>
  <c r="G12" i="17" s="1"/>
  <c r="G16" i="13"/>
  <c r="G13" i="14" s="1"/>
  <c r="G18" i="13"/>
  <c r="H26" i="12" s="1"/>
  <c r="H27" i="12" s="1"/>
  <c r="H31" i="12" s="1"/>
  <c r="E14" i="14"/>
  <c r="E15" i="14" s="1"/>
  <c r="E16" i="14" s="1"/>
  <c r="G7" i="17"/>
  <c r="H7" i="17"/>
  <c r="F11" i="14"/>
  <c r="F12" i="14" s="1"/>
  <c r="G11" i="14"/>
  <c r="G12" i="14" s="1"/>
  <c r="B31" i="8"/>
  <c r="H11" i="17" l="1"/>
  <c r="H12" i="17" s="1"/>
  <c r="H13" i="17" s="1"/>
  <c r="G13" i="17"/>
  <c r="G14" i="17" s="1"/>
  <c r="E17" i="14"/>
  <c r="E18" i="14" s="1"/>
  <c r="G24" i="14"/>
  <c r="H14" i="17" l="1"/>
  <c r="G14" i="14" s="1"/>
  <c r="G15" i="14" s="1"/>
  <c r="G16" i="14" s="1"/>
  <c r="F14" i="14"/>
  <c r="F15" i="14" s="1"/>
  <c r="F16" i="14" s="1"/>
  <c r="G17" i="14" l="1"/>
  <c r="G23" i="14" s="1"/>
  <c r="F17" i="14"/>
  <c r="F18" i="14" s="1"/>
  <c r="G18" i="14" l="1"/>
  <c r="G22" i="14" s="1"/>
  <c r="G25" i="14"/>
  <c r="B28" i="14" s="1"/>
  <c r="B27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<sst xmlns="http://schemas.openxmlformats.org/spreadsheetml/2006/main" count="341" uniqueCount="251">
  <si>
    <t>Item</t>
  </si>
  <si>
    <t>Detail</t>
  </si>
  <si>
    <t>Company name:</t>
  </si>
  <si>
    <t>Example E-Shop Ltd.</t>
  </si>
  <si>
    <t>Industry:</t>
  </si>
  <si>
    <t>E-commerce / Online retail</t>
  </si>
  <si>
    <t>Location:</t>
  </si>
  <si>
    <t>EU-focused, based in Poland (fictional)</t>
  </si>
  <si>
    <t>Business model:</t>
  </si>
  <si>
    <t>Marketplace and direct retail; subscription-driven loyalty program</t>
  </si>
  <si>
    <t>Key points:</t>
  </si>
  <si>
    <t>High gross margins on private-label items, seasonal sales peaks, growth via marketing &amp; international expansion</t>
  </si>
  <si>
    <t>Investment thesis:</t>
  </si>
  <si>
    <t>Scalable unit economics, strong customer retention, opportunity to improve working capital and expand gross margin through private label</t>
  </si>
  <si>
    <t>2024</t>
  </si>
  <si>
    <t>2025</t>
  </si>
  <si>
    <t>2026B</t>
  </si>
  <si>
    <t>Revenue</t>
  </si>
  <si>
    <t>COGS</t>
  </si>
  <si>
    <t>Gross Profit</t>
  </si>
  <si>
    <t>SG&amp;A (opex)</t>
  </si>
  <si>
    <t>Depreciation &amp; Amortization</t>
  </si>
  <si>
    <t>EBIT</t>
  </si>
  <si>
    <t>Interest expense</t>
  </si>
  <si>
    <t>Pre-tax income</t>
  </si>
  <si>
    <t>Net income</t>
  </si>
  <si>
    <t>One-off and non recuring items proposed by the Sellers:</t>
  </si>
  <si>
    <t>Personal costs included in the P&amp;L</t>
  </si>
  <si>
    <t>Founder's salary (he stays post transaction)</t>
  </si>
  <si>
    <t>One-off costs</t>
  </si>
  <si>
    <t>Income from subsidies</t>
  </si>
  <si>
    <t>Adjusted EBITDA calculation:</t>
  </si>
  <si>
    <t>Reported EBITDA</t>
  </si>
  <si>
    <t>Adjustments:</t>
  </si>
  <si>
    <t>Adjusted EBITDA</t>
  </si>
  <si>
    <t>Cash and equivalents</t>
  </si>
  <si>
    <t>Accounts receivable</t>
  </si>
  <si>
    <t>Inventory</t>
  </si>
  <si>
    <t>Other current assets</t>
  </si>
  <si>
    <t>Total current assets</t>
  </si>
  <si>
    <t>PP&amp;E (net)</t>
  </si>
  <si>
    <t>Intangibles (goodwill)</t>
  </si>
  <si>
    <t>Total non-current assets</t>
  </si>
  <si>
    <t>Total assets</t>
  </si>
  <si>
    <t>Accounts payable</t>
  </si>
  <si>
    <t>Accrued expenses</t>
  </si>
  <si>
    <t>Short-term bank debt</t>
  </si>
  <si>
    <t>Long-term bank debt</t>
  </si>
  <si>
    <t>Other long-term liabilities</t>
  </si>
  <si>
    <t>Total liabilities</t>
  </si>
  <si>
    <t>Shareholders' equity</t>
  </si>
  <si>
    <t>Total liabilities &amp; equity</t>
  </si>
  <si>
    <t>Potential Net Debt Items:</t>
  </si>
  <si>
    <t>Overdue liabilities (0-90 days)</t>
  </si>
  <si>
    <t>Overdue liabilities (&gt;90 days)</t>
  </si>
  <si>
    <t>Unpaid dividends</t>
  </si>
  <si>
    <t>Net Debt calculation:</t>
  </si>
  <si>
    <t>Reported Net Debt</t>
  </si>
  <si>
    <t>Adjusted Net Debt</t>
  </si>
  <si>
    <t>Part of the debt for refinancing</t>
  </si>
  <si>
    <t>Part of the debt for roll-over</t>
  </si>
  <si>
    <t>Depreciation &amp; amortization</t>
  </si>
  <si>
    <t>Change in working capital</t>
  </si>
  <si>
    <t>Other adjustments</t>
  </si>
  <si>
    <t>Cash flow from operations (CFO)</t>
  </si>
  <si>
    <t>Capital expenditures (CapEx)</t>
  </si>
  <si>
    <t>Acquisitions (cash)</t>
  </si>
  <si>
    <t>Cash flow from investing (CFI)</t>
  </si>
  <si>
    <t>Debt issued (net)</t>
  </si>
  <si>
    <t>Equity issued / repurchased</t>
  </si>
  <si>
    <t>Dividends paid</t>
  </si>
  <si>
    <t>Cash flow from financing (CFF)</t>
  </si>
  <si>
    <t>Net change in cash</t>
  </si>
  <si>
    <t>Value</t>
  </si>
  <si>
    <t>Deal type</t>
  </si>
  <si>
    <t>LBO - Majority buyout</t>
  </si>
  <si>
    <t>Sponsor ownership post-close (%)</t>
  </si>
  <si>
    <t>Purchase date</t>
  </si>
  <si>
    <t>Fees &amp; transaction costs (PLN thousands)</t>
  </si>
  <si>
    <t>Deal</t>
  </si>
  <si>
    <t>Year</t>
  </si>
  <si>
    <t>EV/EBITDA</t>
  </si>
  <si>
    <t>Target's HQ</t>
  </si>
  <si>
    <t>Acquirer A / Target X</t>
  </si>
  <si>
    <t>Poland</t>
  </si>
  <si>
    <t>Acquirer B / Target Y</t>
  </si>
  <si>
    <t>Germany</t>
  </si>
  <si>
    <t>Acquirer C / Target Z</t>
  </si>
  <si>
    <t>USA</t>
  </si>
  <si>
    <t>Acquirer D / Target Q</t>
  </si>
  <si>
    <t>Argentina</t>
  </si>
  <si>
    <t>Acquirer E / Target R</t>
  </si>
  <si>
    <t>France</t>
  </si>
  <si>
    <t>Deals used for analysis:</t>
  </si>
  <si>
    <t>Average</t>
  </si>
  <si>
    <t>Ticker</t>
  </si>
  <si>
    <t>Company</t>
  </si>
  <si>
    <t>HQ</t>
  </si>
  <si>
    <t>ECOM4</t>
  </si>
  <si>
    <t>Enterprise Value calculation:</t>
  </si>
  <si>
    <t>Adj. EBITDA</t>
  </si>
  <si>
    <t>EV/EBITDA Multiple</t>
  </si>
  <si>
    <t>average</t>
  </si>
  <si>
    <t>Enterprise Value</t>
  </si>
  <si>
    <t>Net debt calculation:</t>
  </si>
  <si>
    <t>Net debt prior to transaction</t>
  </si>
  <si>
    <t>incl: refinanced debt</t>
  </si>
  <si>
    <t>incl: rolled-over debt</t>
  </si>
  <si>
    <t>New debt</t>
  </si>
  <si>
    <t>3x EBITDA</t>
  </si>
  <si>
    <t>Net debt post transaction</t>
  </si>
  <si>
    <t>Net debt / Adj. EBITDA</t>
  </si>
  <si>
    <t>Equity Value calculation:</t>
  </si>
  <si>
    <t>100% Equity Value</t>
  </si>
  <si>
    <t>Stake acquired by the Fund</t>
  </si>
  <si>
    <t>Fund's Equity Value</t>
  </si>
  <si>
    <t>Founder's Equity Value</t>
  </si>
  <si>
    <t>Transaction costs</t>
  </si>
  <si>
    <t>Fund's Equity Ticket</t>
  </si>
  <si>
    <t>Sources:</t>
  </si>
  <si>
    <t>Fund's equity</t>
  </si>
  <si>
    <t>Founder's equity (rollover)</t>
  </si>
  <si>
    <t>Existing debt (rollover)</t>
  </si>
  <si>
    <t>Total sources:</t>
  </si>
  <si>
    <t>Uses:</t>
  </si>
  <si>
    <t>Founder's cash-out (from equity)</t>
  </si>
  <si>
    <t>Founder's cash-out (from debt)</t>
  </si>
  <si>
    <t>Roll-over of current debt</t>
  </si>
  <si>
    <t>Debt refinancing</t>
  </si>
  <si>
    <t>Total uses:</t>
  </si>
  <si>
    <t>2026</t>
  </si>
  <si>
    <t>2027</t>
  </si>
  <si>
    <t>2028</t>
  </si>
  <si>
    <t>2029</t>
  </si>
  <si>
    <t>2030</t>
  </si>
  <si>
    <t>Opex</t>
  </si>
  <si>
    <t>EBITDA</t>
  </si>
  <si>
    <t>Net Income</t>
  </si>
  <si>
    <t>Tax</t>
  </si>
  <si>
    <t>Depreciation</t>
  </si>
  <si>
    <t>Income Statement</t>
  </si>
  <si>
    <t>Assumptions</t>
  </si>
  <si>
    <t>Income Statement Forecast (thousand PLN)</t>
  </si>
  <si>
    <t>Closing balance</t>
  </si>
  <si>
    <t>Interest cost</t>
  </si>
  <si>
    <t>Opening balance</t>
  </si>
  <si>
    <t>YES</t>
  </si>
  <si>
    <t>Equal principal repayment? (YES/NO)</t>
  </si>
  <si>
    <t>Maturity (years)</t>
  </si>
  <si>
    <t>Interest rate (%)</t>
  </si>
  <si>
    <t>Opening balance (2025)</t>
  </si>
  <si>
    <t>Debt Financing Schedule (thousand PLN)</t>
  </si>
  <si>
    <t>IRR</t>
  </si>
  <si>
    <t>Fund ownership (%)</t>
  </si>
  <si>
    <t>Exit EV/EBITDA multiple</t>
  </si>
  <si>
    <t>Investment year</t>
  </si>
  <si>
    <t>2027F</t>
  </si>
  <si>
    <t>2028F</t>
  </si>
  <si>
    <t>2029F</t>
  </si>
  <si>
    <t>2030F</t>
  </si>
  <si>
    <t>Revenue growth</t>
  </si>
  <si>
    <t>Gross Profit (%)</t>
  </si>
  <si>
    <t>Opex (y/y)</t>
  </si>
  <si>
    <t>EBITDA (%)</t>
  </si>
  <si>
    <t>PBT</t>
  </si>
  <si>
    <t>% of debt as bullet payment</t>
  </si>
  <si>
    <t>Principal repayment (amortized)</t>
  </si>
  <si>
    <t>Principal repayment (bullet)</t>
  </si>
  <si>
    <t>Transaction debt</t>
  </si>
  <si>
    <t>Other debt</t>
  </si>
  <si>
    <t>`</t>
  </si>
  <si>
    <t>Repayment</t>
  </si>
  <si>
    <t>Interest expense (tax deductible)</t>
  </si>
  <si>
    <t>Interest expense (transaction debt)</t>
  </si>
  <si>
    <t>Working Capital and CAPEX</t>
  </si>
  <si>
    <t>Working Capital</t>
  </si>
  <si>
    <t>Inventories</t>
  </si>
  <si>
    <t>Receivables</t>
  </si>
  <si>
    <t>Trade payables</t>
  </si>
  <si>
    <t>Other payables</t>
  </si>
  <si>
    <t>Revenues</t>
  </si>
  <si>
    <t>As % of sales</t>
  </si>
  <si>
    <t>Total NWC</t>
  </si>
  <si>
    <t>Change in NWC</t>
  </si>
  <si>
    <t>CAPEX</t>
  </si>
  <si>
    <t>Interest</t>
  </si>
  <si>
    <t>Cash at the end of period</t>
  </si>
  <si>
    <t>Adjustments</t>
  </si>
  <si>
    <t>Adj. EBITDA (%)</t>
  </si>
  <si>
    <t>Changes in debt</t>
  </si>
  <si>
    <t>Fund's equity investment (2025)</t>
  </si>
  <si>
    <t>Transaction costs at exit (% of EV)</t>
  </si>
  <si>
    <t>EBITDA (base for valuation)</t>
  </si>
  <si>
    <t>Net debt</t>
  </si>
  <si>
    <t>100% EQV</t>
  </si>
  <si>
    <t>Exit after 4y:</t>
  </si>
  <si>
    <t>ESOP</t>
  </si>
  <si>
    <t>100% EV at exit</t>
  </si>
  <si>
    <t>Debt</t>
  </si>
  <si>
    <t>Cash</t>
  </si>
  <si>
    <t>Net debt/EBITDA</t>
  </si>
  <si>
    <t>Fund's EQV</t>
  </si>
  <si>
    <t>Fund's Investment</t>
  </si>
  <si>
    <t>ESOP (% of EQV at exit)</t>
  </si>
  <si>
    <t>Transaction costs at exit</t>
  </si>
  <si>
    <t>Fund's inflow from sale</t>
  </si>
  <si>
    <t>Total Fund's proceeds</t>
  </si>
  <si>
    <t>MM</t>
  </si>
  <si>
    <t>Tax (% of base)</t>
  </si>
  <si>
    <t>Additional Management cost</t>
  </si>
  <si>
    <t>$USK</t>
  </si>
  <si>
    <t>FY24</t>
  </si>
  <si>
    <t>FY25</t>
  </si>
  <si>
    <t>FY26B</t>
  </si>
  <si>
    <t>Key:</t>
  </si>
  <si>
    <t>Revenue (Net Sales):</t>
  </si>
  <si>
    <t>FY23:</t>
  </si>
  <si>
    <t>31/01/2022-31/01/2023</t>
  </si>
  <si>
    <t>FY24:</t>
  </si>
  <si>
    <t>31/01/2023-31/01/2024</t>
  </si>
  <si>
    <t>31/01/2024-31/01/2025</t>
  </si>
  <si>
    <t>Tax (21%)</t>
  </si>
  <si>
    <t>Assumed to be flate-rate, this is why it there is mismatch</t>
  </si>
  <si>
    <t>N/A</t>
  </si>
  <si>
    <t>Assets</t>
  </si>
  <si>
    <t>Zero-Debt Company</t>
  </si>
  <si>
    <t>Income Statement Forecast (thousand $US)</t>
  </si>
  <si>
    <t>Shares Outstanding:</t>
  </si>
  <si>
    <t>Net Debt:</t>
  </si>
  <si>
    <t>Stock Price (31/12/2025:</t>
  </si>
  <si>
    <t>Swatch</t>
  </si>
  <si>
    <t>SWGAY</t>
  </si>
  <si>
    <t>Switzerland</t>
  </si>
  <si>
    <t>FOSL</t>
  </si>
  <si>
    <t>Fossil</t>
  </si>
  <si>
    <t>Market Cap ($USk)</t>
  </si>
  <si>
    <t>Enterprise Value ($USk)</t>
  </si>
  <si>
    <t>EBITDA ($USk)</t>
  </si>
  <si>
    <t>FY27</t>
  </si>
  <si>
    <t>FY28</t>
  </si>
  <si>
    <t>FY29</t>
  </si>
  <si>
    <t>FY30</t>
  </si>
  <si>
    <t>Returns calculation (thousand $US)</t>
  </si>
  <si>
    <t>FY25(31/01/2024-31/01/2025)</t>
  </si>
  <si>
    <t>FY26</t>
  </si>
  <si>
    <t>31st January</t>
  </si>
  <si>
    <t>Effective Year:</t>
  </si>
  <si>
    <t>8050.T</t>
  </si>
  <si>
    <t>Seiko</t>
  </si>
  <si>
    <t>Richemont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</si>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</sst>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[$-415]mmm\ yy;@"/>
  </numFmts>
  <fonts count="2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</font>
    <font>
      <u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7DEE8"/>
        <bgColor rgb="FFB7DEE8"/>
      </patternFill>
    </fill>
    <fill>
      <patternFill patternType="solid">
        <fgColor rgb="FFFFF4B3"/>
        <bgColor rgb="FFFFF4B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09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3" fontId="2" fillId="0" borderId="2" xfId="0" applyNumberFormat="1" applyFont="1" applyBorder="1"/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0" fillId="2" borderId="0" xfId="0" applyFill="1"/>
    <xf numFmtId="9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2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3" xfId="0" applyBorder="1"/>
    <xf numFmtId="0" fontId="9" fillId="0" borderId="0" xfId="0" applyFont="1"/>
    <xf numFmtId="3" fontId="0" fillId="0" borderId="3" xfId="0" applyNumberFormat="1" applyBorder="1"/>
    <xf numFmtId="164" fontId="2" fillId="0" borderId="0" xfId="0" applyNumberFormat="1" applyFont="1"/>
    <xf numFmtId="0" fontId="10" fillId="2" borderId="0" xfId="0" applyFont="1" applyFill="1"/>
    <xf numFmtId="0" fontId="10" fillId="0" borderId="0" xfId="0" applyFont="1"/>
    <xf numFmtId="0" fontId="3" fillId="0" borderId="0" xfId="0" applyFont="1"/>
    <xf numFmtId="164" fontId="0" fillId="0" borderId="0" xfId="0" applyNumberFormat="1"/>
    <xf numFmtId="164" fontId="10" fillId="0" borderId="0" xfId="0" applyNumberFormat="1" applyFont="1"/>
    <xf numFmtId="0" fontId="11" fillId="0" borderId="0" xfId="0" applyFont="1"/>
    <xf numFmtId="0" fontId="0" fillId="4" borderId="8" xfId="0" applyFill="1" applyBorder="1"/>
    <xf numFmtId="0" fontId="1" fillId="3" borderId="8" xfId="0" applyFont="1" applyFill="1" applyBorder="1" applyAlignment="1">
      <alignment horizontal="center"/>
    </xf>
    <xf numFmtId="3" fontId="10" fillId="0" borderId="8" xfId="0" applyNumberFormat="1" applyFont="1" applyBorder="1"/>
    <xf numFmtId="3" fontId="0" fillId="0" borderId="8" xfId="0" applyNumberFormat="1" applyBorder="1" applyAlignment="1">
      <alignment horizontal="right"/>
    </xf>
    <xf numFmtId="165" fontId="10" fillId="0" borderId="8" xfId="0" applyNumberFormat="1" applyFont="1" applyBorder="1" applyAlignment="1">
      <alignment horizontal="right"/>
    </xf>
    <xf numFmtId="165" fontId="10" fillId="5" borderId="8" xfId="0" applyNumberFormat="1" applyFont="1" applyFill="1" applyBorder="1" applyAlignment="1">
      <alignment horizontal="right"/>
    </xf>
    <xf numFmtId="3" fontId="2" fillId="0" borderId="8" xfId="0" applyNumberFormat="1" applyFont="1" applyBorder="1"/>
    <xf numFmtId="3" fontId="2" fillId="0" borderId="8" xfId="0" applyNumberFormat="1" applyFont="1" applyBorder="1" applyAlignment="1">
      <alignment horizontal="right"/>
    </xf>
    <xf numFmtId="3" fontId="0" fillId="0" borderId="8" xfId="0" applyNumberFormat="1" applyBorder="1"/>
    <xf numFmtId="3" fontId="0" fillId="5" borderId="8" xfId="0" applyNumberFormat="1" applyFill="1" applyBorder="1" applyAlignment="1">
      <alignment horizontal="right"/>
    </xf>
    <xf numFmtId="165" fontId="0" fillId="0" borderId="8" xfId="1" applyNumberFormat="1" applyFont="1" applyFill="1" applyBorder="1" applyAlignment="1">
      <alignment horizontal="right"/>
    </xf>
    <xf numFmtId="3" fontId="0" fillId="4" borderId="8" xfId="0" applyNumberFormat="1" applyFill="1" applyBorder="1"/>
    <xf numFmtId="9" fontId="0" fillId="4" borderId="8" xfId="0" applyNumberFormat="1" applyFill="1" applyBorder="1"/>
    <xf numFmtId="0" fontId="0" fillId="4" borderId="8" xfId="0" applyFill="1" applyBorder="1" applyAlignment="1">
      <alignment horizontal="right"/>
    </xf>
    <xf numFmtId="165" fontId="0" fillId="5" borderId="8" xfId="1" applyNumberFormat="1" applyFont="1" applyFill="1" applyBorder="1" applyAlignment="1">
      <alignment horizontal="right"/>
    </xf>
    <xf numFmtId="0" fontId="6" fillId="6" borderId="0" xfId="0" applyFont="1" applyFill="1"/>
    <xf numFmtId="0" fontId="0" fillId="6" borderId="0" xfId="0" applyFill="1"/>
    <xf numFmtId="165" fontId="16" fillId="5" borderId="0" xfId="1" applyNumberFormat="1" applyFont="1" applyFill="1"/>
    <xf numFmtId="0" fontId="15" fillId="0" borderId="0" xfId="0" applyFont="1"/>
    <xf numFmtId="166" fontId="15" fillId="0" borderId="0" xfId="0" applyNumberFormat="1" applyFont="1"/>
    <xf numFmtId="0" fontId="16" fillId="0" borderId="0" xfId="0" applyFont="1"/>
    <xf numFmtId="165" fontId="16" fillId="0" borderId="0" xfId="1" applyNumberFormat="1" applyFont="1" applyFill="1"/>
    <xf numFmtId="3" fontId="15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/>
    <xf numFmtId="0" fontId="17" fillId="0" borderId="0" xfId="0" applyFont="1"/>
    <xf numFmtId="165" fontId="10" fillId="0" borderId="0" xfId="1" applyNumberFormat="1" applyFont="1" applyFill="1"/>
    <xf numFmtId="3" fontId="1" fillId="5" borderId="0" xfId="0" applyNumberFormat="1" applyFont="1" applyFill="1" applyAlignment="1">
      <alignment horizontal="center"/>
    </xf>
    <xf numFmtId="3" fontId="2" fillId="0" borderId="10" xfId="0" applyNumberFormat="1" applyFont="1" applyBorder="1"/>
    <xf numFmtId="3" fontId="2" fillId="0" borderId="9" xfId="0" applyNumberFormat="1" applyFont="1" applyBorder="1"/>
    <xf numFmtId="3" fontId="0" fillId="0" borderId="10" xfId="0" applyNumberFormat="1" applyBorder="1"/>
    <xf numFmtId="0" fontId="1" fillId="0" borderId="2" xfId="0" applyFont="1" applyBorder="1" applyAlignment="1">
      <alignment horizontal="left" vertical="top"/>
    </xf>
    <xf numFmtId="0" fontId="19" fillId="0" borderId="0" xfId="0" applyFont="1"/>
    <xf numFmtId="164" fontId="15" fillId="0" borderId="0" xfId="0" applyNumberFormat="1" applyFont="1"/>
    <xf numFmtId="167" fontId="18" fillId="0" borderId="0" xfId="0" applyNumberFormat="1" applyFont="1"/>
    <xf numFmtId="0" fontId="19" fillId="0" borderId="3" xfId="0" applyFont="1" applyBorder="1"/>
    <xf numFmtId="3" fontId="20" fillId="0" borderId="0" xfId="0" applyNumberFormat="1" applyFont="1"/>
    <xf numFmtId="0" fontId="15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3" fontId="21" fillId="0" borderId="0" xfId="0" applyNumberFormat="1" applyFont="1"/>
    <xf numFmtId="0" fontId="19" fillId="0" borderId="2" xfId="0" applyFont="1" applyBorder="1"/>
    <xf numFmtId="3" fontId="20" fillId="0" borderId="2" xfId="0" applyNumberFormat="1" applyFont="1" applyBorder="1"/>
    <xf numFmtId="4" fontId="17" fillId="0" borderId="0" xfId="0" applyNumberFormat="1" applyFont="1"/>
    <xf numFmtId="3" fontId="20" fillId="0" borderId="3" xfId="0" applyNumberFormat="1" applyFont="1" applyBorder="1"/>
    <xf numFmtId="14" fontId="1" fillId="3" borderId="8" xfId="0" applyNumberFormat="1" applyFont="1" applyFill="1" applyBorder="1" applyAlignment="1">
      <alignment horizontal="center"/>
    </xf>
    <xf numFmtId="3" fontId="19" fillId="0" borderId="3" xfId="0" applyNumberFormat="1" applyFont="1" applyBorder="1"/>
    <xf numFmtId="165" fontId="2" fillId="0" borderId="0" xfId="1" applyNumberFormat="1" applyFont="1" applyFill="1"/>
    <xf numFmtId="164" fontId="0" fillId="4" borderId="8" xfId="0" applyNumberFormat="1" applyFill="1" applyBorder="1"/>
    <xf numFmtId="3" fontId="0" fillId="0" borderId="11" xfId="0" applyNumberFormat="1" applyBorder="1" applyAlignment="1">
      <alignment horizontal="right"/>
    </xf>
    <xf numFmtId="0" fontId="1" fillId="7" borderId="2" xfId="0" applyFont="1" applyFill="1" applyBorder="1" applyAlignment="1">
      <alignment horizontal="center" vertical="top"/>
    </xf>
    <xf numFmtId="3" fontId="0" fillId="7" borderId="0" xfId="0" applyNumberFormat="1" applyFill="1"/>
    <xf numFmtId="16" fontId="0" fillId="0" borderId="0" xfId="0" applyNumberFormat="1"/>
    <xf numFmtId="3" fontId="2" fillId="7" borderId="0" xfId="0" applyNumberFormat="1" applyFont="1" applyFill="1"/>
    <xf numFmtId="0" fontId="1" fillId="0" borderId="3" xfId="0" applyFont="1" applyBorder="1" applyAlignment="1">
      <alignment horizontal="left" vertical="top"/>
    </xf>
    <xf numFmtId="3" fontId="2" fillId="7" borderId="3" xfId="0" applyNumberFormat="1" applyFont="1" applyFill="1" applyBorder="1"/>
    <xf numFmtId="0" fontId="0" fillId="7" borderId="0" xfId="0" applyFill="1"/>
    <xf numFmtId="3" fontId="2" fillId="5" borderId="0" xfId="0" applyNumberFormat="1" applyFont="1" applyFill="1"/>
    <xf numFmtId="0" fontId="0" fillId="7" borderId="2" xfId="0" applyFill="1" applyBorder="1" applyAlignment="1">
      <alignment horizontal="left"/>
    </xf>
    <xf numFmtId="0" fontId="4" fillId="7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3" fontId="2" fillId="7" borderId="2" xfId="0" applyNumberFormat="1" applyFont="1" applyFill="1" applyBorder="1"/>
    <xf numFmtId="3" fontId="0" fillId="5" borderId="0" xfId="0" applyNumberFormat="1" applyFill="1"/>
    <xf numFmtId="3" fontId="22" fillId="7" borderId="0" xfId="0" applyNumberFormat="1" applyFont="1" applyFill="1"/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uclac-my.sharepoint.com/personal/yjmsayw_ucl_ac_uk/Documents/Year%20Abroad/PE&amp;VC/Movado%20Group%20Inc%20Balance%20Sheets%20+%20LBO%20with%20Forecast.xlsx" TargetMode="External"/><Relationship Id="rId1" Type="http://schemas.openxmlformats.org/officeDocument/2006/relationships/externalLinkPath" Target="Movado%20Group%20Inc%20Balance%20Sheets%20+%20LBO%20with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ny description"/>
      <sheetName val="Development Factoring P&amp;L"/>
      <sheetName val="DF Balance Sheet"/>
      <sheetName val="DF Cash Flows"/>
      <sheetName val="P&amp;L"/>
      <sheetName val="Balance sheet"/>
      <sheetName val="Cash flows"/>
      <sheetName val="Transaction assumptions"/>
      <sheetName val="Historical EV_EBITDA (deals)"/>
      <sheetName val="Public EV_EBITDA (public)"/>
      <sheetName val="Calculations &amp; S&amp;U"/>
      <sheetName val="P&amp;L forecast"/>
      <sheetName val="Debt"/>
      <sheetName val="WC &amp; CAPEX"/>
      <sheetName val="CF forecast"/>
      <sheetName val="Returns"/>
    </sheetNames>
    <sheetDataSet>
      <sheetData sheetId="0"/>
      <sheetData sheetId="1">
        <row r="4">
          <cell r="G4">
            <v>1.016586035689538</v>
          </cell>
        </row>
        <row r="5">
          <cell r="G5">
            <v>1.0122431495018447</v>
          </cell>
        </row>
        <row r="6">
          <cell r="G6">
            <v>1.0202863399816329</v>
          </cell>
        </row>
        <row r="7">
          <cell r="G7">
            <v>0.99975000922097135</v>
          </cell>
        </row>
        <row r="8">
          <cell r="G8">
            <v>1.484573334568702</v>
          </cell>
        </row>
        <row r="11">
          <cell r="G11">
            <v>0.95967741935483875</v>
          </cell>
        </row>
        <row r="12">
          <cell r="G12">
            <v>1.2490620310155078</v>
          </cell>
        </row>
        <row r="18">
          <cell r="G18">
            <v>1.3567064300261855</v>
          </cell>
        </row>
      </sheetData>
      <sheetData sheetId="2">
        <row r="6">
          <cell r="E6">
            <v>1.012823055059819</v>
          </cell>
        </row>
        <row r="7">
          <cell r="E7">
            <v>1.0391557534715818</v>
          </cell>
        </row>
        <row r="8">
          <cell r="E8">
            <v>1.1179422835633626</v>
          </cell>
        </row>
        <row r="9">
          <cell r="E9">
            <v>0.83695027624309393</v>
          </cell>
        </row>
        <row r="11">
          <cell r="E11">
            <v>1.0409840805802222</v>
          </cell>
          <cell r="G11">
            <v>0.80951579655883221</v>
          </cell>
        </row>
        <row r="12">
          <cell r="E12">
            <v>0.889404296875</v>
          </cell>
        </row>
        <row r="17">
          <cell r="E17">
            <v>1.0063534595370152</v>
          </cell>
        </row>
        <row r="20">
          <cell r="E20">
            <v>0.9225254001155323</v>
          </cell>
        </row>
        <row r="21">
          <cell r="E21">
            <v>1.2703832062580453</v>
          </cell>
        </row>
        <row r="29">
          <cell r="E29">
            <v>0.99489936913249799</v>
          </cell>
        </row>
        <row r="50">
          <cell r="E50">
            <v>1.0122284094360636</v>
          </cell>
        </row>
        <row r="51">
          <cell r="E51">
            <v>1.0063534595370152</v>
          </cell>
        </row>
      </sheetData>
      <sheetData sheetId="3">
        <row r="18">
          <cell r="E18">
            <v>1.3095525997581621</v>
          </cell>
        </row>
        <row r="21">
          <cell r="E21">
            <v>1.0113505747126437</v>
          </cell>
        </row>
        <row r="38">
          <cell r="E38">
            <v>-3.1161542816353655E-2</v>
          </cell>
        </row>
        <row r="40">
          <cell r="E40">
            <v>0.55150753768844218</v>
          </cell>
        </row>
        <row r="42">
          <cell r="E42">
            <v>0.67441860465116277</v>
          </cell>
        </row>
        <row r="43">
          <cell r="E43">
            <v>0.52822749769314659</v>
          </cell>
        </row>
        <row r="45">
          <cell r="F45">
            <v>0.99944251468759382</v>
          </cell>
        </row>
        <row r="47">
          <cell r="F47">
            <v>0.55457227138643073</v>
          </cell>
        </row>
        <row r="48">
          <cell r="E48">
            <v>0.9381100266193434</v>
          </cell>
        </row>
        <row r="52">
          <cell r="G52">
            <v>0.77843524925857932</v>
          </cell>
        </row>
        <row r="84">
          <cell r="B84">
            <v>-11550</v>
          </cell>
          <cell r="C84">
            <v>-899</v>
          </cell>
        </row>
        <row r="85">
          <cell r="B85">
            <v>-11725</v>
          </cell>
          <cell r="C85">
            <v>35675</v>
          </cell>
        </row>
        <row r="86">
          <cell r="B86">
            <v>-4589</v>
          </cell>
          <cell r="C86">
            <v>5962</v>
          </cell>
        </row>
        <row r="87">
          <cell r="B87">
            <v>1842</v>
          </cell>
          <cell r="C87">
            <v>1541</v>
          </cell>
        </row>
        <row r="88">
          <cell r="B88">
            <v>3102</v>
          </cell>
          <cell r="C88">
            <v>-6011</v>
          </cell>
        </row>
        <row r="89">
          <cell r="B89">
            <v>475</v>
          </cell>
          <cell r="C89">
            <v>-9922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cols>
    <col min="1" max="1" width="15.85546875" bestFit="1" customWidth="1"/>
    <col min="2" max="2" width="12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3" t="s">
        <v>2</v>
      </c>
      <c r="B2" s="14" t="s">
        <v>3</v>
      </c>
    </row>
    <row r="3" spans="1:2" x14ac:dyDescent="0.25">
      <c r="A3" s="13" t="s">
        <v>4</v>
      </c>
      <c r="B3" s="14" t="s">
        <v>5</v>
      </c>
    </row>
    <row r="4" spans="1:2" x14ac:dyDescent="0.25">
      <c r="A4" s="13" t="s">
        <v>6</v>
      </c>
      <c r="B4" s="14" t="s">
        <v>7</v>
      </c>
    </row>
    <row r="5" spans="1:2" x14ac:dyDescent="0.25">
      <c r="A5" s="13" t="s">
        <v>8</v>
      </c>
      <c r="B5" s="14" t="s">
        <v>9</v>
      </c>
    </row>
    <row r="6" spans="1:2" x14ac:dyDescent="0.25">
      <c r="A6" s="13" t="s">
        <v>10</v>
      </c>
      <c r="B6" s="14" t="s">
        <v>11</v>
      </c>
    </row>
    <row r="7" spans="1:2" x14ac:dyDescent="0.25">
      <c r="A7" s="15" t="s">
        <v>12</v>
      </c>
      <c r="B7" s="1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/>
  </sheetViews>
  <sheetFormatPr defaultRowHeight="15" x14ac:dyDescent="0.25"/>
  <cols>
    <col min="1" max="1" width="38.5703125" style="20" customWidth="1"/>
  </cols>
  <sheetData>
    <row r="1" spans="1:8" x14ac:dyDescent="0.25">
      <c r="A1" s="17" t="s">
        <v>210</v>
      </c>
      <c r="B1" s="92" t="s">
        <v>211</v>
      </c>
      <c r="C1" s="92" t="s">
        <v>212</v>
      </c>
      <c r="D1" s="92" t="s">
        <v>213</v>
      </c>
      <c r="G1" t="s">
        <v>214</v>
      </c>
    </row>
    <row r="2" spans="1:8" x14ac:dyDescent="0.25">
      <c r="A2" s="7" t="s">
        <v>215</v>
      </c>
      <c r="B2" s="93">
        <v>664389</v>
      </c>
      <c r="C2" s="93">
        <v>653378</v>
      </c>
      <c r="D2" s="93">
        <f>C2*'[1]Development Factoring P&amp;L'!G4</f>
        <v>664214.95082675898</v>
      </c>
      <c r="G2" t="s">
        <v>216</v>
      </c>
      <c r="H2" s="94" t="s">
        <v>217</v>
      </c>
    </row>
    <row r="3" spans="1:8" x14ac:dyDescent="0.25">
      <c r="A3" s="7" t="s">
        <v>18</v>
      </c>
      <c r="B3" s="93">
        <v>300230</v>
      </c>
      <c r="C3" s="93">
        <v>300238</v>
      </c>
      <c r="D3" s="93">
        <f>C3*'[1]Development Factoring P&amp;L'!G5</f>
        <v>303913.85872013483</v>
      </c>
      <c r="G3" t="s">
        <v>218</v>
      </c>
      <c r="H3" t="s">
        <v>219</v>
      </c>
    </row>
    <row r="4" spans="1:8" x14ac:dyDescent="0.25">
      <c r="A4" s="21" t="s">
        <v>19</v>
      </c>
      <c r="B4" s="95">
        <v>364159</v>
      </c>
      <c r="C4" s="95">
        <v>353140</v>
      </c>
      <c r="D4" s="95">
        <f>C4*'[1]Development Factoring P&amp;L'!G6</f>
        <v>360303.91810111381</v>
      </c>
      <c r="G4" t="s">
        <v>212</v>
      </c>
      <c r="H4" t="s">
        <v>220</v>
      </c>
    </row>
    <row r="5" spans="1:8" x14ac:dyDescent="0.25">
      <c r="A5" s="7" t="s">
        <v>20</v>
      </c>
      <c r="B5" s="93">
        <v>315689</v>
      </c>
      <c r="C5" s="93">
        <v>333125</v>
      </c>
      <c r="D5" s="93">
        <f>C5*'[1]Development Factoring P&amp;L'!G7</f>
        <v>333041.72182173608</v>
      </c>
    </row>
    <row r="6" spans="1:8" x14ac:dyDescent="0.25">
      <c r="A6" s="7" t="s">
        <v>21</v>
      </c>
      <c r="B6" s="93">
        <v>9644</v>
      </c>
      <c r="C6" s="93">
        <v>9312</v>
      </c>
      <c r="D6" s="93">
        <f>C6*'[1]DF Cash Flows'!E21</f>
        <v>9417.696551724137</v>
      </c>
    </row>
    <row r="7" spans="1:8" s="3" customFormat="1" x14ac:dyDescent="0.25">
      <c r="A7" s="21" t="s">
        <v>22</v>
      </c>
      <c r="B7" s="95">
        <v>48470</v>
      </c>
      <c r="C7" s="95">
        <v>20015</v>
      </c>
      <c r="D7" s="95">
        <f>C7*'[1]Development Factoring P&amp;L'!G8</f>
        <v>29713.735291392572</v>
      </c>
    </row>
    <row r="8" spans="1:8" x14ac:dyDescent="0.25">
      <c r="A8" s="7" t="s">
        <v>23</v>
      </c>
      <c r="B8" s="93">
        <v>497</v>
      </c>
      <c r="C8" s="93">
        <v>489</v>
      </c>
      <c r="D8" s="93">
        <f>C8*'[1]Development Factoring P&amp;L'!G11</f>
        <v>469.28225806451616</v>
      </c>
    </row>
    <row r="9" spans="1:8" s="3" customFormat="1" x14ac:dyDescent="0.25">
      <c r="A9" s="21" t="s">
        <v>24</v>
      </c>
      <c r="B9" s="95">
        <v>53967</v>
      </c>
      <c r="C9" s="95">
        <v>26651</v>
      </c>
      <c r="D9" s="95">
        <f>C9*'[1]Development Factoring P&amp;L'!G12</f>
        <v>33288.752188594299</v>
      </c>
    </row>
    <row r="10" spans="1:8" x14ac:dyDescent="0.25">
      <c r="A10" s="7" t="s">
        <v>221</v>
      </c>
      <c r="B10" s="93">
        <f>B9*0.21</f>
        <v>11333.07</v>
      </c>
      <c r="C10" s="93">
        <f>C9*0.21</f>
        <v>5596.71</v>
      </c>
      <c r="D10" s="93">
        <f>D9*0.21</f>
        <v>6990.6379596048027</v>
      </c>
      <c r="E10" t="s">
        <v>222</v>
      </c>
    </row>
    <row r="11" spans="1:8" s="3" customFormat="1" x14ac:dyDescent="0.25">
      <c r="A11" s="96" t="s">
        <v>25</v>
      </c>
      <c r="B11" s="97">
        <v>41345</v>
      </c>
      <c r="C11" s="97">
        <v>18364</v>
      </c>
      <c r="D11" s="97">
        <f>C11*'[1]Development Factoring P&amp;L'!G18</f>
        <v>24914.55688100087</v>
      </c>
    </row>
    <row r="12" spans="1:8" x14ac:dyDescent="0.25">
      <c r="B12" s="98"/>
      <c r="C12" s="98"/>
    </row>
    <row r="13" spans="1:8" x14ac:dyDescent="0.25">
      <c r="A13" s="19" t="s">
        <v>26</v>
      </c>
      <c r="B13" s="98"/>
      <c r="C13" s="98"/>
    </row>
    <row r="14" spans="1:8" x14ac:dyDescent="0.25">
      <c r="A14" s="20" t="s">
        <v>27</v>
      </c>
      <c r="B14" s="93">
        <v>0</v>
      </c>
      <c r="C14" s="93">
        <v>0</v>
      </c>
      <c r="D14" s="2">
        <v>0</v>
      </c>
    </row>
    <row r="15" spans="1:8" x14ac:dyDescent="0.25">
      <c r="A15" s="20" t="s">
        <v>28</v>
      </c>
      <c r="B15" s="93"/>
      <c r="C15" s="93"/>
      <c r="D15" s="2"/>
      <c r="E15" t="s">
        <v>223</v>
      </c>
    </row>
    <row r="16" spans="1:8" x14ac:dyDescent="0.25">
      <c r="A16" s="20" t="s">
        <v>29</v>
      </c>
      <c r="B16" s="93">
        <v>0</v>
      </c>
      <c r="C16" s="93">
        <v>0</v>
      </c>
      <c r="D16" s="2">
        <v>0</v>
      </c>
    </row>
    <row r="17" spans="1:4" x14ac:dyDescent="0.25">
      <c r="A17" s="20" t="s">
        <v>30</v>
      </c>
      <c r="B17" s="93">
        <v>0</v>
      </c>
      <c r="C17" s="93">
        <v>0</v>
      </c>
      <c r="D17" s="2">
        <v>0</v>
      </c>
    </row>
    <row r="18" spans="1:4" x14ac:dyDescent="0.25">
      <c r="B18" s="93"/>
      <c r="C18" s="93"/>
      <c r="D18" s="2"/>
    </row>
    <row r="19" spans="1:4" x14ac:dyDescent="0.25">
      <c r="A19" s="19" t="s">
        <v>31</v>
      </c>
      <c r="B19" s="93"/>
      <c r="C19" s="93"/>
      <c r="D19" s="2"/>
    </row>
    <row r="20" spans="1:4" x14ac:dyDescent="0.25">
      <c r="A20" s="7" t="s">
        <v>32</v>
      </c>
      <c r="B20" s="93">
        <f>B7+B6</f>
        <v>58114</v>
      </c>
      <c r="C20" s="93">
        <f>C7+C6</f>
        <v>29327</v>
      </c>
      <c r="D20" s="2">
        <f>D7+D6</f>
        <v>39131.431843116705</v>
      </c>
    </row>
    <row r="21" spans="1:4" x14ac:dyDescent="0.25">
      <c r="A21" s="29" t="s">
        <v>33</v>
      </c>
      <c r="B21" s="93"/>
      <c r="C21" s="93"/>
      <c r="D21" s="2"/>
    </row>
    <row r="22" spans="1:4" x14ac:dyDescent="0.25">
      <c r="A22" s="7" t="str">
        <f>A14</f>
        <v>Personal costs included in the P&amp;L</v>
      </c>
      <c r="B22" s="93"/>
      <c r="C22" s="93"/>
      <c r="D22" s="2"/>
    </row>
    <row r="23" spans="1:4" x14ac:dyDescent="0.25">
      <c r="A23" s="7" t="str">
        <f>A16</f>
        <v>One-off costs</v>
      </c>
      <c r="B23" s="93">
        <f>B16</f>
        <v>0</v>
      </c>
      <c r="C23" s="93">
        <v>0</v>
      </c>
      <c r="D23" s="2">
        <v>0</v>
      </c>
    </row>
    <row r="24" spans="1:4" x14ac:dyDescent="0.25">
      <c r="A24" s="7" t="str">
        <f>A17</f>
        <v>Income from subsidies</v>
      </c>
      <c r="B24" s="93">
        <f>-B17</f>
        <v>0</v>
      </c>
      <c r="C24" s="93">
        <f>-C17</f>
        <v>0</v>
      </c>
      <c r="D24" s="2">
        <f>-D17</f>
        <v>0</v>
      </c>
    </row>
    <row r="25" spans="1:4" s="3" customFormat="1" x14ac:dyDescent="0.25">
      <c r="A25" s="21" t="s">
        <v>34</v>
      </c>
      <c r="B25" s="95">
        <f>SUM(B20:B24)</f>
        <v>58114</v>
      </c>
      <c r="C25" s="95">
        <f>SUM(C20:C24)</f>
        <v>29327</v>
      </c>
      <c r="D25" s="99">
        <f>SUM(D20:D24)</f>
        <v>39131.431843116705</v>
      </c>
    </row>
    <row r="26" spans="1:4" x14ac:dyDescent="0.25">
      <c r="A26" s="7"/>
      <c r="B26" s="2"/>
      <c r="C26" s="2"/>
      <c r="D26" s="2"/>
    </row>
    <row r="27" spans="1:4" x14ac:dyDescent="0.25">
      <c r="A27" s="7"/>
      <c r="B27" s="2"/>
      <c r="C27" s="2"/>
      <c r="D27" s="2"/>
    </row>
    <row r="28" spans="1:4" x14ac:dyDescent="0.25">
      <c r="A28" s="7"/>
      <c r="B28" s="2"/>
      <c r="C28" s="2"/>
      <c r="D28" s="2"/>
    </row>
    <row r="29" spans="1:4" x14ac:dyDescent="0.25">
      <c r="A29" s="7"/>
      <c r="B29" s="2"/>
      <c r="C29" s="2"/>
      <c r="D29" s="2"/>
    </row>
    <row r="30" spans="1:4" x14ac:dyDescent="0.25">
      <c r="B30" s="2"/>
      <c r="C30" s="2"/>
      <c r="D30" s="2"/>
    </row>
    <row r="31" spans="1:4" x14ac:dyDescent="0.25">
      <c r="B31" s="2"/>
      <c r="C31" s="2"/>
      <c r="D31" s="2"/>
    </row>
    <row r="32" spans="1:4" x14ac:dyDescent="0.25">
      <c r="B32" s="2"/>
      <c r="C32" s="2"/>
      <c r="D32" s="2"/>
    </row>
    <row r="33" spans="2:4" x14ac:dyDescent="0.25">
      <c r="B33" s="2"/>
      <c r="C33" s="2"/>
      <c r="D33" s="2"/>
    </row>
    <row r="34" spans="2:4" x14ac:dyDescent="0.25">
      <c r="B34" s="2"/>
      <c r="C34" s="2"/>
      <c r="D34" s="2"/>
    </row>
    <row r="35" spans="2:4" x14ac:dyDescent="0.25">
      <c r="B35" s="2"/>
      <c r="C35" s="2"/>
      <c r="D35" s="2"/>
    </row>
    <row r="36" spans="2:4" x14ac:dyDescent="0.25">
      <c r="B36" s="2"/>
      <c r="C36" s="2"/>
      <c r="D36" s="2"/>
    </row>
    <row r="37" spans="2:4" x14ac:dyDescent="0.25">
      <c r="B37" s="2"/>
      <c r="C37" s="2"/>
      <c r="D37" s="2"/>
    </row>
    <row r="38" spans="2:4" x14ac:dyDescent="0.25">
      <c r="B38" s="2"/>
      <c r="C38" s="2"/>
      <c r="D38" s="2"/>
    </row>
    <row r="39" spans="2:4" x14ac:dyDescent="0.25">
      <c r="B39" s="2"/>
      <c r="C39" s="2"/>
      <c r="D39" s="2"/>
    </row>
    <row r="40" spans="2:4" x14ac:dyDescent="0.25">
      <c r="B40" s="2"/>
      <c r="C40" s="2"/>
      <c r="D40" s="2"/>
    </row>
    <row r="41" spans="2:4" x14ac:dyDescent="0.25">
      <c r="B41" s="2"/>
      <c r="C41" s="2"/>
      <c r="D41" s="2"/>
    </row>
    <row r="42" spans="2:4" x14ac:dyDescent="0.25">
      <c r="B42" s="2"/>
      <c r="C42" s="2"/>
      <c r="D42" s="2"/>
    </row>
    <row r="43" spans="2:4" x14ac:dyDescent="0.25">
      <c r="B43" s="2"/>
      <c r="C43" s="2"/>
      <c r="D43" s="2"/>
    </row>
    <row r="44" spans="2:4" x14ac:dyDescent="0.25">
      <c r="B44" s="2"/>
      <c r="C44" s="2"/>
      <c r="D44" s="2"/>
    </row>
    <row r="45" spans="2:4" x14ac:dyDescent="0.25">
      <c r="B45" s="2"/>
      <c r="C45" s="2"/>
      <c r="D45" s="2"/>
    </row>
    <row r="46" spans="2:4" x14ac:dyDescent="0.25">
      <c r="B46" s="2"/>
      <c r="C46" s="2"/>
      <c r="D46" s="2"/>
    </row>
    <row r="47" spans="2:4" x14ac:dyDescent="0.25">
      <c r="B47" s="2"/>
      <c r="C47" s="2"/>
      <c r="D47" s="2"/>
    </row>
    <row r="48" spans="2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2"/>
      <c r="C60" s="2"/>
      <c r="D6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/>
  </sheetViews>
  <sheetFormatPr defaultRowHeight="15" x14ac:dyDescent="0.25"/>
  <cols>
    <col min="1" max="1" width="27.5703125" style="20" customWidth="1"/>
  </cols>
  <sheetData>
    <row r="1" spans="1:4" s="98" customFormat="1" x14ac:dyDescent="0.25">
      <c r="A1" s="100" t="s">
        <v>224</v>
      </c>
      <c r="B1" s="92" t="s">
        <v>211</v>
      </c>
      <c r="C1" s="92" t="s">
        <v>212</v>
      </c>
      <c r="D1" s="92" t="s">
        <v>213</v>
      </c>
    </row>
    <row r="2" spans="1:4" s="98" customFormat="1" x14ac:dyDescent="0.25">
      <c r="A2" s="101" t="s">
        <v>35</v>
      </c>
      <c r="B2" s="93">
        <v>262059</v>
      </c>
      <c r="C2" s="93">
        <v>208501</v>
      </c>
      <c r="D2" s="93">
        <f>C2*'[1]DF Balance Sheet'!E6</f>
        <v>211174.61980302731</v>
      </c>
    </row>
    <row r="3" spans="1:4" s="98" customFormat="1" x14ac:dyDescent="0.25">
      <c r="A3" s="101" t="s">
        <v>36</v>
      </c>
      <c r="B3" s="93">
        <v>86044</v>
      </c>
      <c r="C3" s="93">
        <v>93382</v>
      </c>
      <c r="D3" s="93">
        <f>C3*'[1]DF Balance Sheet'!E7</f>
        <v>97038.442570683255</v>
      </c>
    </row>
    <row r="4" spans="1:4" s="98" customFormat="1" x14ac:dyDescent="0.25">
      <c r="A4" s="101" t="s">
        <v>37</v>
      </c>
      <c r="B4" s="93">
        <v>153890</v>
      </c>
      <c r="C4" s="93">
        <v>156738</v>
      </c>
      <c r="D4" s="93">
        <f>C4*'[1]DF Balance Sheet'!E8</f>
        <v>175224.03764115431</v>
      </c>
    </row>
    <row r="5" spans="1:4" s="98" customFormat="1" x14ac:dyDescent="0.25">
      <c r="A5" s="101" t="s">
        <v>38</v>
      </c>
      <c r="B5" s="93">
        <v>17962</v>
      </c>
      <c r="C5" s="93">
        <v>21786</v>
      </c>
      <c r="D5" s="93">
        <f>C5*'[1]DF Balance Sheet'!E9</f>
        <v>18233.798718232043</v>
      </c>
    </row>
    <row r="6" spans="1:4" s="98" customFormat="1" x14ac:dyDescent="0.25">
      <c r="A6" s="102" t="s">
        <v>39</v>
      </c>
      <c r="B6" s="95">
        <v>531294</v>
      </c>
      <c r="C6" s="95">
        <v>489941</v>
      </c>
      <c r="D6" s="95">
        <f>C6*'[1]DF Balance Sheet'!E11</f>
        <v>510020.78142355464</v>
      </c>
    </row>
    <row r="7" spans="1:4" s="98" customFormat="1" x14ac:dyDescent="0.25">
      <c r="A7" s="101" t="s">
        <v>40</v>
      </c>
      <c r="B7" s="93">
        <v>19436</v>
      </c>
      <c r="C7" s="93">
        <v>19920</v>
      </c>
      <c r="D7" s="93">
        <f>C7*'[1]DF Balance Sheet'!E12</f>
        <v>17716.93359375</v>
      </c>
    </row>
    <row r="8" spans="1:4" s="98" customFormat="1" x14ac:dyDescent="0.25">
      <c r="A8" s="101" t="s">
        <v>41</v>
      </c>
      <c r="B8" s="93">
        <f>82661+7493</f>
        <v>90154</v>
      </c>
      <c r="C8" s="93">
        <f>86009+5537</f>
        <v>91546</v>
      </c>
      <c r="D8" s="93">
        <f>C8*'[1]DF Balance Sheet'!G11</f>
        <v>74107.933111774852</v>
      </c>
    </row>
    <row r="9" spans="1:4" s="98" customFormat="1" x14ac:dyDescent="0.25">
      <c r="A9" s="102" t="s">
        <v>42</v>
      </c>
      <c r="B9" s="95">
        <f>SUM(B7:B8)</f>
        <v>109590</v>
      </c>
      <c r="C9" s="95">
        <f>SUM(C7:C8)</f>
        <v>111466</v>
      </c>
      <c r="D9" s="95">
        <f>SUM(D7:D8)</f>
        <v>91824.866705524852</v>
      </c>
    </row>
    <row r="10" spans="1:4" s="98" customFormat="1" x14ac:dyDescent="0.25">
      <c r="A10" s="103" t="s">
        <v>43</v>
      </c>
      <c r="B10" s="104">
        <v>756498</v>
      </c>
      <c r="C10" s="104">
        <v>729231</v>
      </c>
      <c r="D10" s="104">
        <f>C10*'[1]DF Balance Sheet'!E17</f>
        <v>733864.13965163706</v>
      </c>
    </row>
    <row r="11" spans="1:4" s="98" customFormat="1" x14ac:dyDescent="0.25">
      <c r="A11" s="101" t="s">
        <v>44</v>
      </c>
      <c r="B11" s="93">
        <v>32775</v>
      </c>
      <c r="C11" s="93">
        <v>34312</v>
      </c>
      <c r="D11" s="93">
        <f>C11*'[1]DF Balance Sheet'!E20</f>
        <v>31653.691528764146</v>
      </c>
    </row>
    <row r="12" spans="1:4" s="98" customFormat="1" x14ac:dyDescent="0.25">
      <c r="A12" s="101" t="s">
        <v>45</v>
      </c>
      <c r="B12" s="93">
        <v>38695</v>
      </c>
      <c r="C12" s="93">
        <v>42610</v>
      </c>
      <c r="D12" s="93">
        <f>C12*'[1]DF Balance Sheet'!E21</f>
        <v>54131.028418655311</v>
      </c>
    </row>
    <row r="13" spans="1:4" x14ac:dyDescent="0.25">
      <c r="A13" s="7" t="s">
        <v>46</v>
      </c>
      <c r="B13" s="105">
        <v>0</v>
      </c>
      <c r="C13" s="105">
        <v>0</v>
      </c>
      <c r="D13" s="105">
        <v>0</v>
      </c>
    </row>
    <row r="14" spans="1:4" x14ac:dyDescent="0.25">
      <c r="A14" s="7" t="s">
        <v>47</v>
      </c>
      <c r="B14" s="105">
        <v>0</v>
      </c>
      <c r="C14" s="105">
        <v>0</v>
      </c>
      <c r="D14" s="105">
        <v>0</v>
      </c>
    </row>
    <row r="15" spans="1:4" x14ac:dyDescent="0.25">
      <c r="A15" s="7" t="s">
        <v>48</v>
      </c>
      <c r="B15" s="105">
        <v>0</v>
      </c>
      <c r="C15" s="105">
        <v>0</v>
      </c>
      <c r="D15" s="105">
        <v>0</v>
      </c>
    </row>
    <row r="16" spans="1:4" s="98" customFormat="1" x14ac:dyDescent="0.25">
      <c r="A16" s="102" t="s">
        <v>49</v>
      </c>
      <c r="B16" s="95">
        <v>248449</v>
      </c>
      <c r="C16" s="95">
        <v>245652</v>
      </c>
      <c r="D16" s="95">
        <f>C16*'[1]DF Balance Sheet'!E29</f>
        <v>244399.01982613638</v>
      </c>
    </row>
    <row r="17" spans="1:5" s="98" customFormat="1" x14ac:dyDescent="0.25">
      <c r="A17" s="102" t="s">
        <v>50</v>
      </c>
      <c r="B17" s="95">
        <v>505890</v>
      </c>
      <c r="C17" s="95">
        <v>481329</v>
      </c>
      <c r="D17" s="95">
        <f>C17*'[1]DF Balance Sheet'!E50</f>
        <v>487214.88808545109</v>
      </c>
    </row>
    <row r="18" spans="1:5" s="98" customFormat="1" x14ac:dyDescent="0.25">
      <c r="A18" s="103" t="s">
        <v>51</v>
      </c>
      <c r="B18" s="104">
        <v>756498</v>
      </c>
      <c r="C18" s="104">
        <v>729321</v>
      </c>
      <c r="D18" s="104">
        <f>C18*'[1]DF Balance Sheet'!E51</f>
        <v>733954.71146299539</v>
      </c>
    </row>
    <row r="20" spans="1:5" x14ac:dyDescent="0.25">
      <c r="A20" s="19" t="s">
        <v>52</v>
      </c>
    </row>
    <row r="21" spans="1:5" x14ac:dyDescent="0.25">
      <c r="A21" s="7" t="s">
        <v>53</v>
      </c>
      <c r="B21" s="2">
        <v>0</v>
      </c>
      <c r="C21" s="2">
        <v>0</v>
      </c>
      <c r="D21" s="2">
        <v>0</v>
      </c>
    </row>
    <row r="22" spans="1:5" x14ac:dyDescent="0.25">
      <c r="A22" s="7" t="s">
        <v>54</v>
      </c>
      <c r="B22" s="2">
        <v>0</v>
      </c>
      <c r="C22" s="2">
        <v>0</v>
      </c>
      <c r="D22" s="2">
        <v>0</v>
      </c>
    </row>
    <row r="23" spans="1:5" x14ac:dyDescent="0.25">
      <c r="A23" s="7" t="s">
        <v>55</v>
      </c>
      <c r="B23" s="2">
        <v>0</v>
      </c>
      <c r="C23" s="2">
        <v>0</v>
      </c>
      <c r="D23" s="2">
        <v>0</v>
      </c>
    </row>
    <row r="24" spans="1:5" x14ac:dyDescent="0.25">
      <c r="A24" s="7"/>
    </row>
    <row r="25" spans="1:5" x14ac:dyDescent="0.25">
      <c r="A25" s="19" t="s">
        <v>56</v>
      </c>
    </row>
    <row r="26" spans="1:5" x14ac:dyDescent="0.25">
      <c r="A26" s="7" t="s">
        <v>46</v>
      </c>
      <c r="B26" s="2">
        <f t="shared" ref="B26:D26" si="0">B13</f>
        <v>0</v>
      </c>
      <c r="C26" s="2">
        <f t="shared" si="0"/>
        <v>0</v>
      </c>
      <c r="D26" s="2">
        <f t="shared" si="0"/>
        <v>0</v>
      </c>
      <c r="E26" t="s">
        <v>225</v>
      </c>
    </row>
    <row r="27" spans="1:5" x14ac:dyDescent="0.25">
      <c r="A27" s="7" t="s">
        <v>47</v>
      </c>
      <c r="B27" s="2">
        <v>0</v>
      </c>
      <c r="C27" s="2">
        <v>0</v>
      </c>
      <c r="D27" s="2">
        <v>0</v>
      </c>
    </row>
    <row r="28" spans="1:5" x14ac:dyDescent="0.25">
      <c r="A28" s="7" t="s">
        <v>48</v>
      </c>
      <c r="B28" s="2">
        <f t="shared" ref="B28:D28" si="1">B15</f>
        <v>0</v>
      </c>
      <c r="C28" s="2">
        <f t="shared" si="1"/>
        <v>0</v>
      </c>
      <c r="D28" s="2">
        <f t="shared" si="1"/>
        <v>0</v>
      </c>
    </row>
    <row r="29" spans="1:5" x14ac:dyDescent="0.25">
      <c r="A29" s="20" t="str">
        <f>A2</f>
        <v>Cash and equivalents</v>
      </c>
      <c r="B29" s="2">
        <f>-B2</f>
        <v>-262059</v>
      </c>
      <c r="C29" s="2">
        <f>-C2</f>
        <v>-208501</v>
      </c>
      <c r="D29" s="2">
        <f>-D2</f>
        <v>-211174.61980302731</v>
      </c>
    </row>
    <row r="30" spans="1:5" x14ac:dyDescent="0.25">
      <c r="A30" s="30" t="s">
        <v>57</v>
      </c>
      <c r="B30" s="4">
        <f>SUM(B26:B29)</f>
        <v>-262059</v>
      </c>
      <c r="C30" s="4">
        <f>SUM(C26:C29)</f>
        <v>-208501</v>
      </c>
      <c r="D30" s="4">
        <f>SUM(D26:D29)</f>
        <v>-211174.61980302731</v>
      </c>
    </row>
    <row r="31" spans="1:5" x14ac:dyDescent="0.25">
      <c r="A31" s="20" t="str">
        <f t="shared" ref="A31:A32" si="2">A22</f>
        <v>Overdue liabilities (&gt;90 days)</v>
      </c>
      <c r="B31" s="2">
        <v>0</v>
      </c>
      <c r="C31" s="2">
        <v>0</v>
      </c>
      <c r="D31" s="2">
        <v>0</v>
      </c>
    </row>
    <row r="32" spans="1:5" x14ac:dyDescent="0.25">
      <c r="A32" s="20" t="str">
        <f t="shared" si="2"/>
        <v>Unpaid dividends</v>
      </c>
      <c r="B32" s="2">
        <v>0</v>
      </c>
      <c r="C32" s="2">
        <v>0</v>
      </c>
      <c r="D32" s="2">
        <v>0</v>
      </c>
    </row>
    <row r="33" spans="1:4" s="3" customFormat="1" x14ac:dyDescent="0.25">
      <c r="A33" s="30" t="s">
        <v>58</v>
      </c>
      <c r="B33" s="4">
        <f>B30+B31+B32</f>
        <v>-262059</v>
      </c>
      <c r="C33" s="4">
        <f>C30+C31+C32</f>
        <v>-208501</v>
      </c>
      <c r="D33" s="4">
        <f>D30+D31+D32</f>
        <v>-211174.61980302731</v>
      </c>
    </row>
    <row r="35" spans="1:4" x14ac:dyDescent="0.25">
      <c r="A35" s="20" t="s">
        <v>59</v>
      </c>
      <c r="B35" s="2">
        <f>B26+B27</f>
        <v>0</v>
      </c>
      <c r="C35" s="2">
        <f>C26+C27</f>
        <v>0</v>
      </c>
      <c r="D35" s="2">
        <f>D26+D27</f>
        <v>0</v>
      </c>
    </row>
    <row r="36" spans="1:4" x14ac:dyDescent="0.25">
      <c r="A36" s="20" t="s">
        <v>60</v>
      </c>
      <c r="B36" s="2">
        <f>B33-B35</f>
        <v>-262059</v>
      </c>
      <c r="C36" s="2">
        <f>C33-C35</f>
        <v>-208501</v>
      </c>
      <c r="D36" s="2">
        <f>D33-D35</f>
        <v>-211174.61980302731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5" x14ac:dyDescent="0.25"/>
  <cols>
    <col min="1" max="1" width="28.5703125" style="20" bestFit="1" customWidth="1"/>
  </cols>
  <sheetData>
    <row r="1" spans="1:4" x14ac:dyDescent="0.25">
      <c r="A1" s="24"/>
      <c r="B1" s="6" t="s">
        <v>211</v>
      </c>
      <c r="C1" s="6" t="s">
        <v>212</v>
      </c>
      <c r="D1" s="6" t="s">
        <v>213</v>
      </c>
    </row>
    <row r="2" spans="1:4" x14ac:dyDescent="0.25">
      <c r="A2" s="101" t="s">
        <v>25</v>
      </c>
      <c r="B2" s="93">
        <v>42175</v>
      </c>
      <c r="C2" s="93">
        <v>19209</v>
      </c>
      <c r="D2" s="93">
        <f>C2*'[1]DF Cash Flows'!E18</f>
        <v>25155.195888754537</v>
      </c>
    </row>
    <row r="3" spans="1:4" x14ac:dyDescent="0.25">
      <c r="A3" s="101" t="s">
        <v>61</v>
      </c>
      <c r="B3" s="93">
        <v>9644</v>
      </c>
      <c r="C3" s="93">
        <v>9312</v>
      </c>
      <c r="D3" s="93">
        <v>9312</v>
      </c>
    </row>
    <row r="4" spans="1:4" x14ac:dyDescent="0.25">
      <c r="A4" s="101" t="s">
        <v>62</v>
      </c>
      <c r="B4" s="93" cm="1">
        <f t="array" ref="B4">SUM('[1]DF Cash Flows'!C84:C86-'[1]DF Cash Flows'!C87:C89)</f>
        <v>55130</v>
      </c>
      <c r="C4" s="93" cm="1">
        <f t="array" ref="C4">SUM('[1]DF Cash Flows'!B84:B86-'[1]DF Cash Flows'!B87:B89)</f>
        <v>-33283</v>
      </c>
      <c r="D4" s="93">
        <f>C4*'[1]DF Cash Flows'!G52</f>
        <v>-25908.660401073295</v>
      </c>
    </row>
    <row r="5" spans="1:4" x14ac:dyDescent="0.25">
      <c r="A5" s="7" t="s">
        <v>63</v>
      </c>
      <c r="B5" s="2">
        <v>0</v>
      </c>
      <c r="C5" s="2">
        <v>0</v>
      </c>
      <c r="D5" s="2">
        <v>0</v>
      </c>
    </row>
    <row r="6" spans="1:4" x14ac:dyDescent="0.25">
      <c r="A6" s="102" t="s">
        <v>64</v>
      </c>
      <c r="B6" s="95">
        <v>76778</v>
      </c>
      <c r="C6" s="106">
        <v>-1504</v>
      </c>
      <c r="D6" s="106">
        <f>C6*'[1]DF Cash Flows'!E38</f>
        <v>46.8669603957959</v>
      </c>
    </row>
    <row r="7" spans="1:4" x14ac:dyDescent="0.25">
      <c r="A7" s="7" t="s">
        <v>65</v>
      </c>
      <c r="B7" s="93">
        <v>-8223</v>
      </c>
      <c r="C7" s="93">
        <v>-7966</v>
      </c>
      <c r="D7" s="93">
        <f>C7*'[1]DF Cash Flows'!E40</f>
        <v>-4393.3090452261304</v>
      </c>
    </row>
    <row r="8" spans="1:4" x14ac:dyDescent="0.25">
      <c r="A8" s="7" t="s">
        <v>66</v>
      </c>
      <c r="B8" s="93">
        <v>-114</v>
      </c>
      <c r="C8" s="93">
        <v>-109</v>
      </c>
      <c r="D8" s="93">
        <f>C8*'[1]DF Cash Flows'!E42</f>
        <v>-73.511627906976742</v>
      </c>
    </row>
    <row r="9" spans="1:4" x14ac:dyDescent="0.25">
      <c r="A9" s="21" t="s">
        <v>67</v>
      </c>
      <c r="B9" s="95">
        <v>-11474</v>
      </c>
      <c r="C9" s="95">
        <v>-13742</v>
      </c>
      <c r="D9" s="95">
        <f>C9*'[1]DF Cash Flows'!E43</f>
        <v>-7258.9022732992207</v>
      </c>
    </row>
    <row r="10" spans="1:4" x14ac:dyDescent="0.25">
      <c r="A10" s="7" t="s">
        <v>68</v>
      </c>
      <c r="B10" s="93">
        <v>0</v>
      </c>
      <c r="C10" s="93">
        <v>0</v>
      </c>
      <c r="D10" s="93">
        <v>0</v>
      </c>
    </row>
    <row r="11" spans="1:4" x14ac:dyDescent="0.25">
      <c r="A11" s="7" t="s">
        <v>69</v>
      </c>
      <c r="B11" s="93">
        <v>-3116</v>
      </c>
      <c r="C11" s="93">
        <f>-(1101+2628)</f>
        <v>-3729</v>
      </c>
      <c r="D11" s="93">
        <f>C11*'[1]DF Cash Flows'!F47</f>
        <v>-2068</v>
      </c>
    </row>
    <row r="12" spans="1:4" x14ac:dyDescent="0.25">
      <c r="A12" s="7" t="s">
        <v>70</v>
      </c>
      <c r="B12" s="93">
        <v>-53146</v>
      </c>
      <c r="C12" s="93">
        <v>-31069</v>
      </c>
      <c r="D12" s="93">
        <f>C12*'[1]DF Cash Flows'!F45</f>
        <v>-31051.679488828853</v>
      </c>
    </row>
    <row r="13" spans="1:4" x14ac:dyDescent="0.25">
      <c r="A13" s="21" t="s">
        <v>71</v>
      </c>
      <c r="B13" s="95">
        <v>-57596</v>
      </c>
      <c r="C13" s="95">
        <v>-35402</v>
      </c>
      <c r="D13" s="95">
        <f>C13*'[1]DF Cash Flows'!E48</f>
        <v>-33210.971162377995</v>
      </c>
    </row>
    <row r="14" spans="1:4" x14ac:dyDescent="0.25">
      <c r="A14" s="73" t="s">
        <v>72</v>
      </c>
      <c r="B14" s="5">
        <f t="shared" ref="B14:D14" si="0">B6+B13+B9</f>
        <v>7708</v>
      </c>
      <c r="C14" s="5">
        <f t="shared" si="0"/>
        <v>-50648</v>
      </c>
      <c r="D14" s="5">
        <f t="shared" si="0"/>
        <v>-40423.006475281421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cols>
    <col min="1" max="1" width="43.42578125" customWidth="1"/>
    <col min="2" max="2" width="22.5703125" customWidth="1"/>
  </cols>
  <sheetData>
    <row r="1" spans="1:2" x14ac:dyDescent="0.25">
      <c r="A1" s="20"/>
      <c r="B1" s="22" t="s">
        <v>73</v>
      </c>
    </row>
    <row r="2" spans="1:2" x14ac:dyDescent="0.25">
      <c r="A2" s="21" t="s">
        <v>74</v>
      </c>
      <c r="B2" s="25" t="s">
        <v>75</v>
      </c>
    </row>
    <row r="3" spans="1:2" x14ac:dyDescent="0.25">
      <c r="A3" s="21" t="s">
        <v>76</v>
      </c>
      <c r="B3" s="28">
        <v>0.7</v>
      </c>
    </row>
    <row r="4" spans="1:2" x14ac:dyDescent="0.25">
      <c r="A4" s="21" t="s">
        <v>77</v>
      </c>
      <c r="B4" s="26">
        <v>46022</v>
      </c>
    </row>
    <row r="5" spans="1:2" x14ac:dyDescent="0.25">
      <c r="A5" s="18" t="s">
        <v>78</v>
      </c>
      <c r="B5" s="27">
        <f>'Calculations &amp; S&amp;U'!B5*0.02</f>
        <v>5865.4000000000005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/>
  </sheetViews>
  <sheetFormatPr defaultRowHeight="15" x14ac:dyDescent="0.25"/>
  <cols>
    <col min="1" max="1" width="22.140625" customWidth="1"/>
    <col min="3" max="3" width="11.85546875" customWidth="1"/>
    <col min="4" max="4" width="15.5703125" customWidth="1"/>
  </cols>
  <sheetData>
    <row r="1" spans="1:4" x14ac:dyDescent="0.25">
      <c r="A1" s="1" t="s">
        <v>79</v>
      </c>
      <c r="B1" s="1" t="s">
        <v>80</v>
      </c>
      <c r="C1" s="1" t="s">
        <v>81</v>
      </c>
      <c r="D1" s="1" t="s">
        <v>82</v>
      </c>
    </row>
    <row r="2" spans="1:4" x14ac:dyDescent="0.25">
      <c r="A2" t="s">
        <v>83</v>
      </c>
      <c r="B2">
        <v>2023</v>
      </c>
      <c r="C2">
        <v>6.2</v>
      </c>
      <c r="D2" t="s">
        <v>84</v>
      </c>
    </row>
    <row r="3" spans="1:4" x14ac:dyDescent="0.25">
      <c r="A3" t="s">
        <v>85</v>
      </c>
      <c r="B3">
        <v>2022</v>
      </c>
      <c r="C3">
        <v>8.1</v>
      </c>
      <c r="D3" t="s">
        <v>86</v>
      </c>
    </row>
    <row r="4" spans="1:4" x14ac:dyDescent="0.25">
      <c r="A4" t="s">
        <v>87</v>
      </c>
      <c r="B4">
        <v>2015</v>
      </c>
      <c r="C4">
        <v>7</v>
      </c>
      <c r="D4" t="s">
        <v>88</v>
      </c>
    </row>
    <row r="5" spans="1:4" x14ac:dyDescent="0.25">
      <c r="A5" t="s">
        <v>89</v>
      </c>
      <c r="B5">
        <v>2024</v>
      </c>
      <c r="C5">
        <v>9</v>
      </c>
      <c r="D5" t="s">
        <v>90</v>
      </c>
    </row>
    <row r="6" spans="1:4" x14ac:dyDescent="0.25">
      <c r="A6" s="31" t="s">
        <v>91</v>
      </c>
      <c r="B6" s="31">
        <v>2020</v>
      </c>
      <c r="C6" s="31">
        <v>5.5</v>
      </c>
      <c r="D6" s="31" t="s">
        <v>92</v>
      </c>
    </row>
    <row r="8" spans="1:4" x14ac:dyDescent="0.25">
      <c r="A8" s="32" t="s">
        <v>93</v>
      </c>
    </row>
    <row r="9" spans="1:4" x14ac:dyDescent="0.25">
      <c r="A9" s="1" t="s">
        <v>79</v>
      </c>
      <c r="B9" s="1" t="s">
        <v>80</v>
      </c>
      <c r="C9" s="1" t="s">
        <v>81</v>
      </c>
      <c r="D9" s="1" t="s">
        <v>82</v>
      </c>
    </row>
    <row r="10" spans="1:4" x14ac:dyDescent="0.25">
      <c r="A10" t="s">
        <v>83</v>
      </c>
      <c r="B10">
        <v>2023</v>
      </c>
      <c r="C10">
        <v>6.2</v>
      </c>
      <c r="D10" t="s">
        <v>84</v>
      </c>
    </row>
    <row r="11" spans="1:4" x14ac:dyDescent="0.25">
      <c r="A11" t="s">
        <v>85</v>
      </c>
      <c r="B11">
        <v>2022</v>
      </c>
      <c r="C11">
        <v>8.1</v>
      </c>
      <c r="D11" t="s">
        <v>86</v>
      </c>
    </row>
    <row r="12" spans="1:4" x14ac:dyDescent="0.25">
      <c r="A12" s="31" t="s">
        <v>91</v>
      </c>
      <c r="B12" s="31">
        <v>2020</v>
      </c>
      <c r="C12" s="31">
        <v>5.5</v>
      </c>
      <c r="D12" s="31" t="s">
        <v>92</v>
      </c>
    </row>
    <row r="14" spans="1:4" x14ac:dyDescent="0.25">
      <c r="A14" s="3" t="s">
        <v>94</v>
      </c>
      <c r="B14" s="3"/>
      <c r="C14" s="3">
        <f>AVERAGE(C10:C12)</f>
        <v>6.6000000000000005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5" x14ac:dyDescent="0.25"/>
  <cols>
    <col min="1" max="1" width="13.85546875" customWidth="1"/>
    <col min="2" max="2" width="13.85546875" bestFit="1" customWidth="1"/>
    <col min="3" max="3" width="17.140625" bestFit="1" customWidth="1"/>
    <col min="4" max="4" width="21.140625" bestFit="1" customWidth="1"/>
    <col min="5" max="5" width="13.42578125" bestFit="1" customWidth="1"/>
    <col min="6" max="7" width="10.140625" bestFit="1" customWidth="1"/>
  </cols>
  <sheetData>
    <row r="1" spans="1:7" x14ac:dyDescent="0.25">
      <c r="A1" s="1" t="s">
        <v>95</v>
      </c>
      <c r="B1" s="1" t="s">
        <v>96</v>
      </c>
      <c r="C1" s="1" t="s">
        <v>235</v>
      </c>
      <c r="D1" s="1" t="s">
        <v>236</v>
      </c>
      <c r="E1" s="1" t="s">
        <v>237</v>
      </c>
      <c r="F1" s="1" t="s">
        <v>81</v>
      </c>
      <c r="G1" s="1" t="s">
        <v>97</v>
      </c>
    </row>
    <row r="2" spans="1:7" x14ac:dyDescent="0.25">
      <c r="A2" t="s">
        <v>231</v>
      </c>
      <c r="B2" t="s">
        <v>230</v>
      </c>
      <c r="C2" s="2">
        <v>11070000</v>
      </c>
      <c r="D2" s="2">
        <v>9720000</v>
      </c>
      <c r="E2" s="2">
        <v>546000</v>
      </c>
      <c r="F2">
        <v>12.66</v>
      </c>
      <c r="G2" t="s">
        <v>232</v>
      </c>
    </row>
    <row r="3" spans="1:7" x14ac:dyDescent="0.25">
      <c r="A3" t="s">
        <v>233</v>
      </c>
      <c r="B3" t="s">
        <v>234</v>
      </c>
      <c r="C3" s="2">
        <v>231188</v>
      </c>
      <c r="D3" s="2">
        <v>472690</v>
      </c>
      <c r="E3" s="2">
        <v>44100</v>
      </c>
      <c r="F3">
        <f>D3/E3</f>
        <v>10.718594104308391</v>
      </c>
      <c r="G3" t="s">
        <v>88</v>
      </c>
    </row>
    <row r="4" spans="1:7" x14ac:dyDescent="0.25">
      <c r="A4" t="s">
        <v>247</v>
      </c>
      <c r="B4" t="s">
        <v>248</v>
      </c>
      <c r="C4" s="2">
        <v>48000000</v>
      </c>
      <c r="D4" s="2">
        <v>2370000</v>
      </c>
      <c r="E4" s="2">
        <v>250000</v>
      </c>
      <c r="F4">
        <v>9.1</v>
      </c>
      <c r="G4" t="s">
        <v>250</v>
      </c>
    </row>
    <row r="5" spans="1:7" x14ac:dyDescent="0.25">
      <c r="A5" s="31" t="s">
        <v>98</v>
      </c>
      <c r="B5" s="31" t="s">
        <v>249</v>
      </c>
      <c r="C5" s="33">
        <v>148000000</v>
      </c>
      <c r="D5" s="33">
        <v>144000000</v>
      </c>
      <c r="E5" s="33">
        <v>5350000</v>
      </c>
      <c r="F5" s="31">
        <v>15.11</v>
      </c>
      <c r="G5" s="31" t="s">
        <v>232</v>
      </c>
    </row>
    <row r="7" spans="1:7" s="3" customFormat="1" x14ac:dyDescent="0.25">
      <c r="A7" s="3" t="s">
        <v>94</v>
      </c>
      <c r="F7" s="34">
        <f>AVERAGE(F2:F5)</f>
        <v>11.897148526077098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40"/>
  <sheetViews>
    <sheetView tabSelected="1" workbookViewId="0">
      <selection activeCell="B5" sqref="B5"/>
    </sheetView>
  </sheetViews>
  <sheetFormatPr defaultRowHeight="15" x14ac:dyDescent="0.25"/>
  <cols>
    <col min="1" max="1" width="43.140625" bestFit="1" customWidth="1"/>
    <col min="2" max="2" width="14.42578125" customWidth="1"/>
    <col min="3" max="3" width="8.85546875" style="36" customWidth="1"/>
    <col min="5" max="5" width="24.5703125" customWidth="1"/>
    <col min="6" max="6" width="22" customWidth="1"/>
  </cols>
  <sheetData>
    <row r="2" spans="1:7" s="11" customFormat="1" x14ac:dyDescent="0.25">
      <c r="A2" s="10" t="s">
        <v>99</v>
      </c>
      <c r="C2" s="35"/>
    </row>
    <row r="3" spans="1:7" x14ac:dyDescent="0.25">
      <c r="A3" s="8" t="s">
        <v>100</v>
      </c>
      <c r="B3" s="2">
        <f>'P&amp;L'!C25</f>
        <v>29327</v>
      </c>
      <c r="C3" s="36">
        <v>2025</v>
      </c>
      <c r="E3" t="s">
        <v>229</v>
      </c>
      <c r="F3" t="s">
        <v>227</v>
      </c>
      <c r="G3" t="s">
        <v>228</v>
      </c>
    </row>
    <row r="4" spans="1:7" x14ac:dyDescent="0.25">
      <c r="A4" s="8" t="s">
        <v>101</v>
      </c>
      <c r="B4" s="38">
        <v>10</v>
      </c>
      <c r="C4" s="36" t="s">
        <v>102</v>
      </c>
      <c r="E4">
        <v>19.12</v>
      </c>
      <c r="F4">
        <f>(6458376+6483116)/1000</f>
        <v>12941.492</v>
      </c>
      <c r="G4" s="2">
        <f>'Balance sheet'!C33</f>
        <v>-208501</v>
      </c>
    </row>
    <row r="5" spans="1:7" s="3" customFormat="1" x14ac:dyDescent="0.25">
      <c r="A5" s="9" t="s">
        <v>103</v>
      </c>
      <c r="B5" s="4">
        <f>B3*B4</f>
        <v>293270</v>
      </c>
      <c r="C5" s="37"/>
    </row>
    <row r="7" spans="1:7" s="11" customFormat="1" x14ac:dyDescent="0.25">
      <c r="A7" s="10" t="s">
        <v>104</v>
      </c>
      <c r="C7" s="35"/>
    </row>
    <row r="8" spans="1:7" x14ac:dyDescent="0.25">
      <c r="A8" s="8" t="s">
        <v>105</v>
      </c>
      <c r="B8" s="2">
        <f>'Balance sheet'!C33</f>
        <v>-208501</v>
      </c>
    </row>
    <row r="9" spans="1:7" x14ac:dyDescent="0.25">
      <c r="A9" s="8" t="s">
        <v>106</v>
      </c>
      <c r="B9" s="2">
        <f>'Balance sheet'!C35</f>
        <v>0</v>
      </c>
    </row>
    <row r="10" spans="1:7" x14ac:dyDescent="0.25">
      <c r="A10" s="8" t="s">
        <v>107</v>
      </c>
      <c r="B10" s="2">
        <f>'Balance sheet'!C36</f>
        <v>-208501</v>
      </c>
    </row>
    <row r="12" spans="1:7" x14ac:dyDescent="0.25">
      <c r="A12" t="s">
        <v>108</v>
      </c>
      <c r="B12" s="2">
        <f>4*B3</f>
        <v>117308</v>
      </c>
      <c r="C12" s="36" t="s">
        <v>109</v>
      </c>
    </row>
    <row r="13" spans="1:7" s="3" customFormat="1" x14ac:dyDescent="0.25">
      <c r="A13" s="3" t="s">
        <v>110</v>
      </c>
      <c r="B13" s="4">
        <f>B12+B10</f>
        <v>-91193</v>
      </c>
      <c r="C13" s="37"/>
    </row>
    <row r="14" spans="1:7" s="36" customFormat="1" x14ac:dyDescent="0.25">
      <c r="A14" s="36" t="s">
        <v>111</v>
      </c>
      <c r="B14" s="39">
        <f>B13/B3</f>
        <v>-3.1095236471510894</v>
      </c>
    </row>
    <row r="16" spans="1:7" s="11" customFormat="1" x14ac:dyDescent="0.25">
      <c r="A16" s="10" t="s">
        <v>112</v>
      </c>
      <c r="C16" s="35"/>
    </row>
    <row r="17" spans="1:3" s="3" customFormat="1" x14ac:dyDescent="0.25">
      <c r="A17" s="3" t="s">
        <v>103</v>
      </c>
      <c r="B17" s="4">
        <f>B5</f>
        <v>293270</v>
      </c>
      <c r="C17" s="37"/>
    </row>
    <row r="18" spans="1:3" x14ac:dyDescent="0.25">
      <c r="A18" t="s">
        <v>110</v>
      </c>
      <c r="B18" s="2">
        <f>B13</f>
        <v>-91193</v>
      </c>
    </row>
    <row r="19" spans="1:3" s="3" customFormat="1" x14ac:dyDescent="0.25">
      <c r="A19" s="3" t="s">
        <v>113</v>
      </c>
      <c r="B19" s="4">
        <f>B17-B18</f>
        <v>384463</v>
      </c>
      <c r="C19" s="37"/>
    </row>
    <row r="20" spans="1:3" x14ac:dyDescent="0.25">
      <c r="A20" t="s">
        <v>114</v>
      </c>
      <c r="B20" s="12">
        <f>'Transaction assumptions'!B3</f>
        <v>0.7</v>
      </c>
    </row>
    <row r="21" spans="1:3" s="3" customFormat="1" x14ac:dyDescent="0.25">
      <c r="A21" s="3" t="s">
        <v>115</v>
      </c>
      <c r="B21" s="4">
        <f>B19*B20</f>
        <v>269124.09999999998</v>
      </c>
      <c r="C21" s="37"/>
    </row>
    <row r="22" spans="1:3" s="3" customFormat="1" x14ac:dyDescent="0.25">
      <c r="A22" s="3" t="s">
        <v>116</v>
      </c>
      <c r="B22" s="4">
        <f>B19-B21</f>
        <v>115338.90000000002</v>
      </c>
      <c r="C22" s="37"/>
    </row>
    <row r="23" spans="1:3" x14ac:dyDescent="0.25">
      <c r="A23" t="s">
        <v>117</v>
      </c>
      <c r="B23" s="2">
        <f>'Transaction assumptions'!B5</f>
        <v>5865.4000000000005</v>
      </c>
    </row>
    <row r="24" spans="1:3" x14ac:dyDescent="0.25">
      <c r="A24" s="3" t="s">
        <v>118</v>
      </c>
      <c r="B24" s="4">
        <f>B21+B23</f>
        <v>274989.5</v>
      </c>
    </row>
    <row r="26" spans="1:3" s="11" customFormat="1" x14ac:dyDescent="0.25">
      <c r="A26" s="10" t="s">
        <v>119</v>
      </c>
      <c r="C26" s="35"/>
    </row>
    <row r="27" spans="1:3" x14ac:dyDescent="0.25">
      <c r="A27" t="s">
        <v>120</v>
      </c>
      <c r="B27" s="2">
        <f>B24</f>
        <v>274989.5</v>
      </c>
    </row>
    <row r="28" spans="1:3" x14ac:dyDescent="0.25">
      <c r="A28" t="s">
        <v>121</v>
      </c>
      <c r="B28" s="2">
        <f>B22</f>
        <v>115338.90000000002</v>
      </c>
    </row>
    <row r="29" spans="1:3" x14ac:dyDescent="0.25">
      <c r="A29" t="s">
        <v>122</v>
      </c>
      <c r="B29" s="2">
        <f>B10</f>
        <v>-208501</v>
      </c>
    </row>
    <row r="30" spans="1:3" x14ac:dyDescent="0.25">
      <c r="A30" t="s">
        <v>108</v>
      </c>
      <c r="B30" s="2">
        <f>B12</f>
        <v>117308</v>
      </c>
    </row>
    <row r="31" spans="1:3" s="3" customFormat="1" x14ac:dyDescent="0.25">
      <c r="A31" s="3" t="s">
        <v>123</v>
      </c>
      <c r="B31" s="4">
        <f>SUM(B27:B30)</f>
        <v>299135.40000000002</v>
      </c>
      <c r="C31" s="37"/>
    </row>
    <row r="33" spans="1:3" s="11" customFormat="1" x14ac:dyDescent="0.25">
      <c r="A33" s="10" t="s">
        <v>124</v>
      </c>
      <c r="C33" s="35"/>
    </row>
    <row r="34" spans="1:3" x14ac:dyDescent="0.25">
      <c r="A34" t="s">
        <v>125</v>
      </c>
      <c r="B34" s="2">
        <f>B21</f>
        <v>269124.09999999998</v>
      </c>
    </row>
    <row r="35" spans="1:3" x14ac:dyDescent="0.25">
      <c r="A35" t="s">
        <v>126</v>
      </c>
      <c r="B35" s="2">
        <f>B12-B9</f>
        <v>117308</v>
      </c>
    </row>
    <row r="36" spans="1:3" x14ac:dyDescent="0.25">
      <c r="A36" t="s">
        <v>121</v>
      </c>
      <c r="B36" s="2">
        <f>B22</f>
        <v>115338.90000000002</v>
      </c>
    </row>
    <row r="37" spans="1:3" x14ac:dyDescent="0.25">
      <c r="A37" t="s">
        <v>117</v>
      </c>
      <c r="B37" s="2">
        <f>B23</f>
        <v>5865.4000000000005</v>
      </c>
    </row>
    <row r="38" spans="1:3" x14ac:dyDescent="0.25">
      <c r="A38" t="s">
        <v>127</v>
      </c>
      <c r="B38" s="2">
        <f>B10</f>
        <v>-208501</v>
      </c>
    </row>
    <row r="39" spans="1:3" x14ac:dyDescent="0.25">
      <c r="A39" t="s">
        <v>128</v>
      </c>
      <c r="B39" s="2">
        <f>B9</f>
        <v>0</v>
      </c>
    </row>
    <row r="40" spans="1:3" x14ac:dyDescent="0.25">
      <c r="A40" s="3" t="s">
        <v>129</v>
      </c>
      <c r="B40" s="4">
        <f>SUM(B34:B39)</f>
        <v>299135.40000000002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61FD-1CDA-4B8D-B7C3-53C3F95E222A}">
  <dimension ref="A1:H31"/>
  <sheetViews>
    <sheetView workbookViewId="0">
      <selection sqref="A1:G1"/>
    </sheetView>
  </sheetViews>
  <sheetFormatPr defaultRowHeight="15" x14ac:dyDescent="0.25"/>
  <cols>
    <col min="1" max="1" width="32.5703125" customWidth="1"/>
    <col min="3" max="3" width="8.7109375" customWidth="1"/>
    <col min="5" max="5" width="9.140625" bestFit="1" customWidth="1"/>
  </cols>
  <sheetData>
    <row r="1" spans="1:8" ht="15.75" x14ac:dyDescent="0.25">
      <c r="A1" s="107" t="s">
        <v>226</v>
      </c>
      <c r="B1" s="107"/>
      <c r="C1" s="107"/>
      <c r="D1" s="107"/>
      <c r="E1" s="107"/>
      <c r="F1" s="107"/>
      <c r="G1" s="107"/>
    </row>
    <row r="3" spans="1:8" x14ac:dyDescent="0.25">
      <c r="A3" s="40" t="s">
        <v>140</v>
      </c>
      <c r="C3" s="2"/>
      <c r="D3" s="2"/>
      <c r="E3" s="2"/>
      <c r="F3" s="2"/>
      <c r="G3" s="2"/>
      <c r="H3" s="2"/>
    </row>
    <row r="4" spans="1:8" s="3" customFormat="1" x14ac:dyDescent="0.25">
      <c r="A4" s="3" t="s">
        <v>0</v>
      </c>
      <c r="B4" s="42" t="s">
        <v>211</v>
      </c>
      <c r="C4" s="42" t="s">
        <v>212</v>
      </c>
      <c r="D4" s="42" t="s">
        <v>213</v>
      </c>
      <c r="E4" s="42" t="s">
        <v>238</v>
      </c>
      <c r="F4" s="42" t="s">
        <v>239</v>
      </c>
      <c r="G4" s="42" t="s">
        <v>240</v>
      </c>
      <c r="H4" s="42" t="s">
        <v>241</v>
      </c>
    </row>
    <row r="5" spans="1:8" s="3" customFormat="1" x14ac:dyDescent="0.25">
      <c r="A5" s="3" t="s">
        <v>17</v>
      </c>
      <c r="B5" s="47">
        <f>'P&amp;L'!B2</f>
        <v>664389</v>
      </c>
      <c r="C5" s="47">
        <f>'P&amp;L'!C2</f>
        <v>653378</v>
      </c>
      <c r="D5" s="47">
        <f>'P&amp;L'!D2</f>
        <v>664214.95082675898</v>
      </c>
      <c r="E5" s="47">
        <f>D5*(1+E6)</f>
        <v>677499.24984329415</v>
      </c>
      <c r="F5" s="47">
        <f t="shared" ref="F5:H5" si="0">E5*(1+F6)</f>
        <v>704599.21983702597</v>
      </c>
      <c r="G5" s="47">
        <f t="shared" si="0"/>
        <v>739829.18082887726</v>
      </c>
      <c r="H5" s="47">
        <f t="shared" si="0"/>
        <v>791617.2234868987</v>
      </c>
    </row>
    <row r="6" spans="1:8" s="36" customFormat="1" x14ac:dyDescent="0.25">
      <c r="A6" s="36" t="s">
        <v>160</v>
      </c>
      <c r="B6" s="43"/>
      <c r="C6" s="45">
        <f>C5/B5-1</f>
        <v>-1.6573122071557478E-2</v>
      </c>
      <c r="D6" s="45">
        <f>D5/C5-1</f>
        <v>1.6586035689537981E-2</v>
      </c>
      <c r="E6" s="46">
        <v>0.02</v>
      </c>
      <c r="F6" s="46">
        <v>0.04</v>
      </c>
      <c r="G6" s="46">
        <v>0.05</v>
      </c>
      <c r="H6" s="46">
        <v>7.0000000000000007E-2</v>
      </c>
    </row>
    <row r="7" spans="1:8" s="36" customFormat="1" x14ac:dyDescent="0.25">
      <c r="B7" s="43"/>
      <c r="C7" s="45"/>
      <c r="D7" s="45"/>
      <c r="E7" s="45"/>
      <c r="F7" s="45"/>
      <c r="G7" s="45"/>
      <c r="H7" s="45"/>
    </row>
    <row r="8" spans="1:8" x14ac:dyDescent="0.25">
      <c r="A8" t="s">
        <v>18</v>
      </c>
      <c r="B8" s="44">
        <f>B9-B5</f>
        <v>-300230</v>
      </c>
      <c r="C8" s="44">
        <f t="shared" ref="C8:D8" si="1">C9-C5</f>
        <v>-300238</v>
      </c>
      <c r="D8" s="44">
        <f t="shared" si="1"/>
        <v>-303911.03272564517</v>
      </c>
      <c r="E8" s="44">
        <f>E9-E5</f>
        <v>-309989.25338015804</v>
      </c>
      <c r="F8" s="44">
        <f t="shared" ref="F8:H8" si="2">F9-F5</f>
        <v>-315342.83131699415</v>
      </c>
      <c r="G8" s="44">
        <f t="shared" si="2"/>
        <v>-323711.68107455503</v>
      </c>
      <c r="H8" s="44">
        <f t="shared" si="2"/>
        <v>-338455.32651490491</v>
      </c>
    </row>
    <row r="9" spans="1:8" s="3" customFormat="1" x14ac:dyDescent="0.25">
      <c r="A9" s="3" t="s">
        <v>19</v>
      </c>
      <c r="B9" s="48">
        <f>'P&amp;L'!B4</f>
        <v>364159</v>
      </c>
      <c r="C9" s="48">
        <f>'P&amp;L'!C4</f>
        <v>353140</v>
      </c>
      <c r="D9" s="48">
        <f>'P&amp;L'!D4</f>
        <v>360303.91810111381</v>
      </c>
      <c r="E9" s="48">
        <f>E10*E5</f>
        <v>367509.99646313611</v>
      </c>
      <c r="F9" s="48">
        <f t="shared" ref="F9:H9" si="3">F10*F5</f>
        <v>389256.38852003182</v>
      </c>
      <c r="G9" s="48">
        <f t="shared" si="3"/>
        <v>416117.49975432223</v>
      </c>
      <c r="H9" s="48">
        <f t="shared" si="3"/>
        <v>453161.89697199379</v>
      </c>
    </row>
    <row r="10" spans="1:8" s="36" customFormat="1" x14ac:dyDescent="0.25">
      <c r="A10" s="36" t="s">
        <v>161</v>
      </c>
      <c r="B10" s="45">
        <f>B9/B5</f>
        <v>0.54811112164710729</v>
      </c>
      <c r="C10" s="45">
        <f t="shared" ref="C10:D10" si="4">C9/C5</f>
        <v>0.54048345674326348</v>
      </c>
      <c r="D10" s="45">
        <f t="shared" si="4"/>
        <v>0.54245077990586898</v>
      </c>
      <c r="E10" s="46">
        <f>D10</f>
        <v>0.54245077990586898</v>
      </c>
      <c r="F10" s="46">
        <f>E10+1%</f>
        <v>0.55245077990586899</v>
      </c>
      <c r="G10" s="46">
        <f t="shared" ref="G10:H10" si="5">F10+1%</f>
        <v>0.562450779905869</v>
      </c>
      <c r="H10" s="46">
        <f t="shared" si="5"/>
        <v>0.57245077990586901</v>
      </c>
    </row>
    <row r="11" spans="1:8" x14ac:dyDescent="0.25">
      <c r="B11" s="44"/>
      <c r="C11" s="44"/>
      <c r="D11" s="44"/>
      <c r="E11" s="44"/>
      <c r="F11" s="44"/>
      <c r="G11" s="44"/>
      <c r="H11" s="44"/>
    </row>
    <row r="12" spans="1:8" x14ac:dyDescent="0.25">
      <c r="A12" t="s">
        <v>135</v>
      </c>
      <c r="B12" s="44">
        <f>-'P&amp;L'!B5</f>
        <v>-315689</v>
      </c>
      <c r="C12" s="44">
        <f>-'P&amp;L'!C5</f>
        <v>-333125</v>
      </c>
      <c r="D12" s="44">
        <f>-'P&amp;L'!D5</f>
        <v>-333041.72182173608</v>
      </c>
      <c r="E12" s="49">
        <f>D12*(1+E13)</f>
        <v>-342197.30220167426</v>
      </c>
      <c r="F12" s="49">
        <f t="shared" ref="F12:H12" si="6">E12*(1+F13)</f>
        <v>-351604.57672862499</v>
      </c>
      <c r="G12" s="49">
        <f t="shared" si="6"/>
        <v>-361270.46467378805</v>
      </c>
      <c r="H12" s="49">
        <f t="shared" si="6"/>
        <v>-371202.07552460191</v>
      </c>
    </row>
    <row r="13" spans="1:8" x14ac:dyDescent="0.25">
      <c r="A13" t="s">
        <v>162</v>
      </c>
      <c r="B13" s="44"/>
      <c r="C13" s="45">
        <f>C12/B12-1</f>
        <v>5.5231572845426902E-2</v>
      </c>
      <c r="D13" s="45">
        <f>D12/C12-1</f>
        <v>-2.4999077902865263E-4</v>
      </c>
      <c r="E13" s="46">
        <f>AVERAGE(C13:D13)</f>
        <v>2.7490791033199125E-2</v>
      </c>
      <c r="F13" s="46">
        <f>E13</f>
        <v>2.7490791033199125E-2</v>
      </c>
      <c r="G13" s="46">
        <f t="shared" ref="G13:H13" si="7">F13</f>
        <v>2.7490791033199125E-2</v>
      </c>
      <c r="H13" s="46">
        <f t="shared" si="7"/>
        <v>2.7490791033199125E-2</v>
      </c>
    </row>
    <row r="14" spans="1:8" x14ac:dyDescent="0.25">
      <c r="A14" t="s">
        <v>209</v>
      </c>
      <c r="B14" s="44"/>
      <c r="C14" s="45"/>
      <c r="D14" s="49">
        <v>-3000</v>
      </c>
      <c r="E14" s="49">
        <f>D14*1.1</f>
        <v>-3300.0000000000005</v>
      </c>
      <c r="F14" s="49">
        <f>E14*1.1</f>
        <v>-3630.0000000000009</v>
      </c>
      <c r="G14" s="49">
        <f>F14*1.1</f>
        <v>-3993.0000000000014</v>
      </c>
      <c r="H14" s="49">
        <f>G14*1.1</f>
        <v>-4392.300000000002</v>
      </c>
    </row>
    <row r="15" spans="1:8" s="3" customFormat="1" x14ac:dyDescent="0.25">
      <c r="A15" s="3" t="s">
        <v>136</v>
      </c>
      <c r="B15" s="48">
        <f>'P&amp;L'!B20</f>
        <v>58114</v>
      </c>
      <c r="C15" s="48">
        <f>'P&amp;L'!C20</f>
        <v>29327</v>
      </c>
      <c r="D15" s="48">
        <f>'P&amp;L'!D20</f>
        <v>39131.431843116705</v>
      </c>
      <c r="E15" s="48">
        <f>D15*1.03</f>
        <v>40305.374798410208</v>
      </c>
      <c r="F15" s="48">
        <f>E15*1.09</f>
        <v>43932.858530267127</v>
      </c>
      <c r="G15" s="48">
        <f>F15*1.1</f>
        <v>48326.144383293846</v>
      </c>
      <c r="H15" s="48">
        <f>G15*1.12</f>
        <v>54125.281709289113</v>
      </c>
    </row>
    <row r="16" spans="1:8" s="36" customFormat="1" x14ac:dyDescent="0.25">
      <c r="A16" s="36" t="s">
        <v>163</v>
      </c>
      <c r="B16" s="45">
        <f>B15/B5</f>
        <v>8.7469840710788407E-2</v>
      </c>
      <c r="C16" s="45">
        <f>C15/C5</f>
        <v>4.4885196624312416E-2</v>
      </c>
      <c r="D16" s="45">
        <f>D15/D5</f>
        <v>5.8913807637737126E-2</v>
      </c>
      <c r="E16" s="45">
        <f t="shared" ref="E16:H16" si="8">E15/E5</f>
        <v>5.949139398712671E-2</v>
      </c>
      <c r="F16" s="45">
        <f t="shared" si="8"/>
        <v>6.2351557159584722E-2</v>
      </c>
      <c r="G16" s="45">
        <f t="shared" si="8"/>
        <v>6.5320678929088771E-2</v>
      </c>
      <c r="H16" s="45">
        <f t="shared" si="8"/>
        <v>6.8373047103345255E-2</v>
      </c>
    </row>
    <row r="17" spans="1:8" x14ac:dyDescent="0.25">
      <c r="B17" s="44"/>
      <c r="C17" s="44"/>
      <c r="D17" s="44"/>
      <c r="E17" s="44"/>
      <c r="F17" s="44"/>
      <c r="G17" s="44"/>
      <c r="H17" s="44"/>
    </row>
    <row r="18" spans="1:8" x14ac:dyDescent="0.25">
      <c r="A18" t="s">
        <v>187</v>
      </c>
      <c r="B18" s="44">
        <f>'P&amp;L'!B22+'P&amp;L'!B23+'P&amp;L'!B24</f>
        <v>0</v>
      </c>
      <c r="C18" s="44">
        <f>'P&amp;L'!C22+'P&amp;L'!C23+'P&amp;L'!C24</f>
        <v>0</v>
      </c>
      <c r="D18" s="44">
        <f>'P&amp;L'!D22+'P&amp;L'!D23+'P&amp;L'!D24</f>
        <v>0</v>
      </c>
      <c r="E18" s="44">
        <v>0</v>
      </c>
      <c r="F18" s="44">
        <v>0</v>
      </c>
      <c r="G18" s="44">
        <v>0</v>
      </c>
      <c r="H18" s="44">
        <v>0</v>
      </c>
    </row>
    <row r="19" spans="1:8" x14ac:dyDescent="0.25">
      <c r="A19" s="3" t="s">
        <v>100</v>
      </c>
      <c r="B19" s="48">
        <f>B15+B18</f>
        <v>58114</v>
      </c>
      <c r="C19" s="48">
        <f t="shared" ref="C19:H19" si="9">C15+C18</f>
        <v>29327</v>
      </c>
      <c r="D19" s="48">
        <f t="shared" si="9"/>
        <v>39131.431843116705</v>
      </c>
      <c r="E19" s="48">
        <f t="shared" si="9"/>
        <v>40305.374798410208</v>
      </c>
      <c r="F19" s="48">
        <f t="shared" si="9"/>
        <v>43932.858530267127</v>
      </c>
      <c r="G19" s="48">
        <f t="shared" si="9"/>
        <v>48326.144383293846</v>
      </c>
      <c r="H19" s="48">
        <f t="shared" si="9"/>
        <v>54125.281709289113</v>
      </c>
    </row>
    <row r="20" spans="1:8" x14ac:dyDescent="0.25">
      <c r="A20" s="36" t="s">
        <v>188</v>
      </c>
      <c r="B20" s="45">
        <f t="shared" ref="B20:H20" si="10">B19/B5</f>
        <v>8.7469840710788407E-2</v>
      </c>
      <c r="C20" s="45">
        <f t="shared" si="10"/>
        <v>4.4885196624312416E-2</v>
      </c>
      <c r="D20" s="45">
        <f t="shared" si="10"/>
        <v>5.8913807637737126E-2</v>
      </c>
      <c r="E20" s="45">
        <f t="shared" si="10"/>
        <v>5.949139398712671E-2</v>
      </c>
      <c r="F20" s="45">
        <f t="shared" si="10"/>
        <v>6.2351557159584722E-2</v>
      </c>
      <c r="G20" s="45">
        <f t="shared" si="10"/>
        <v>6.5320678929088771E-2</v>
      </c>
      <c r="H20" s="45">
        <f t="shared" si="10"/>
        <v>6.8373047103345255E-2</v>
      </c>
    </row>
    <row r="21" spans="1:8" x14ac:dyDescent="0.25">
      <c r="B21" s="44"/>
      <c r="C21" s="44"/>
      <c r="D21" s="44"/>
      <c r="E21" s="44"/>
      <c r="F21" s="44"/>
      <c r="G21" s="44"/>
      <c r="H21" s="44"/>
    </row>
    <row r="22" spans="1:8" x14ac:dyDescent="0.25">
      <c r="A22" t="s">
        <v>139</v>
      </c>
      <c r="B22" s="44">
        <f>-'P&amp;L'!B6</f>
        <v>-9644</v>
      </c>
      <c r="C22" s="44">
        <f>-'P&amp;L'!C6</f>
        <v>-9312</v>
      </c>
      <c r="D22" s="44">
        <f>-'P&amp;L'!D6</f>
        <v>-9417.696551724137</v>
      </c>
      <c r="E22" s="50">
        <f>D22-300</f>
        <v>-9717.696551724137</v>
      </c>
      <c r="F22" s="50">
        <f>E22-300</f>
        <v>-10017.696551724137</v>
      </c>
      <c r="G22" s="50">
        <f>F22-300</f>
        <v>-10317.696551724137</v>
      </c>
      <c r="H22" s="50">
        <f>G22-300</f>
        <v>-10617.696551724137</v>
      </c>
    </row>
    <row r="23" spans="1:8" s="3" customFormat="1" x14ac:dyDescent="0.25">
      <c r="A23" s="3" t="s">
        <v>22</v>
      </c>
      <c r="B23" s="48">
        <f>B15+B22</f>
        <v>48470</v>
      </c>
      <c r="C23" s="48">
        <f>C15+C22</f>
        <v>20015</v>
      </c>
      <c r="D23" s="48">
        <f>D15+D22</f>
        <v>29713.735291392568</v>
      </c>
      <c r="E23" s="48">
        <f t="shared" ref="E23:H23" si="11">E15+E22</f>
        <v>30587.678246686071</v>
      </c>
      <c r="F23" s="48">
        <f t="shared" si="11"/>
        <v>33915.161978542994</v>
      </c>
      <c r="G23" s="48">
        <f t="shared" si="11"/>
        <v>38008.447831569705</v>
      </c>
      <c r="H23" s="48">
        <f t="shared" si="11"/>
        <v>43507.585157564972</v>
      </c>
    </row>
    <row r="24" spans="1:8" x14ac:dyDescent="0.25">
      <c r="B24" s="44"/>
      <c r="C24" s="44"/>
      <c r="D24" s="44"/>
      <c r="E24" s="44"/>
      <c r="F24" s="44"/>
      <c r="G24" s="44"/>
      <c r="H24" s="44"/>
    </row>
    <row r="25" spans="1:8" x14ac:dyDescent="0.25">
      <c r="A25" t="s">
        <v>172</v>
      </c>
      <c r="B25" s="44">
        <f>-'P&amp;L'!B8</f>
        <v>-497</v>
      </c>
      <c r="C25" s="44">
        <f>-'P&amp;L'!C8</f>
        <v>-489</v>
      </c>
      <c r="D25" s="44">
        <f>-Debt!C30</f>
        <v>0</v>
      </c>
      <c r="E25" s="44">
        <f>-Debt!D30</f>
        <v>0</v>
      </c>
      <c r="F25" s="44">
        <f>-Debt!E30</f>
        <v>0</v>
      </c>
      <c r="G25" s="44">
        <f>-Debt!F30</f>
        <v>0</v>
      </c>
      <c r="H25" s="44">
        <f>-Debt!G30</f>
        <v>0</v>
      </c>
    </row>
    <row r="26" spans="1:8" x14ac:dyDescent="0.25">
      <c r="A26" t="s">
        <v>173</v>
      </c>
      <c r="B26" s="44"/>
      <c r="C26" s="44"/>
      <c r="D26" s="50">
        <f>-Debt!C18</f>
        <v>-8915.4080000000013</v>
      </c>
      <c r="E26" s="50">
        <f>-Debt!D18</f>
        <v>-7976.9439999999995</v>
      </c>
      <c r="F26" s="50">
        <f>-Debt!E18</f>
        <v>-7038.4800000000005</v>
      </c>
      <c r="G26" s="50">
        <f>-Debt!F18</f>
        <v>-6100.0159999999987</v>
      </c>
      <c r="H26" s="50">
        <f>-Debt!G18</f>
        <v>-5161.5519999999988</v>
      </c>
    </row>
    <row r="27" spans="1:8" s="3" customFormat="1" x14ac:dyDescent="0.25">
      <c r="A27" s="3" t="s">
        <v>164</v>
      </c>
      <c r="B27" s="48">
        <f>B23+B25</f>
        <v>47973</v>
      </c>
      <c r="C27" s="48">
        <f>C23+C25+C26</f>
        <v>19526</v>
      </c>
      <c r="D27" s="48">
        <f>D23+D25+D26</f>
        <v>20798.327291392568</v>
      </c>
      <c r="E27" s="48">
        <f t="shared" ref="E27:H27" si="12">E23+E25+E26</f>
        <v>22610.734246686072</v>
      </c>
      <c r="F27" s="48">
        <f t="shared" si="12"/>
        <v>26876.681978542994</v>
      </c>
      <c r="G27" s="48">
        <f t="shared" si="12"/>
        <v>31908.431831569706</v>
      </c>
      <c r="H27" s="48">
        <f t="shared" si="12"/>
        <v>38346.033157564976</v>
      </c>
    </row>
    <row r="28" spans="1:8" x14ac:dyDescent="0.25">
      <c r="B28" s="44"/>
      <c r="C28" s="44"/>
      <c r="D28" s="44"/>
      <c r="E28" s="3"/>
      <c r="F28" s="3"/>
      <c r="G28" s="3"/>
      <c r="H28" s="3"/>
    </row>
    <row r="29" spans="1:8" x14ac:dyDescent="0.25">
      <c r="A29" t="s">
        <v>208</v>
      </c>
      <c r="B29" s="51">
        <v>0.2</v>
      </c>
      <c r="C29" s="51">
        <v>0.2</v>
      </c>
      <c r="D29" s="55">
        <f>C29</f>
        <v>0.2</v>
      </c>
      <c r="E29" s="55">
        <f t="shared" ref="E29:H29" si="13">D29</f>
        <v>0.2</v>
      </c>
      <c r="F29" s="55">
        <f t="shared" si="13"/>
        <v>0.2</v>
      </c>
      <c r="G29" s="55">
        <f t="shared" si="13"/>
        <v>0.2</v>
      </c>
      <c r="H29" s="55">
        <f t="shared" si="13"/>
        <v>0.2</v>
      </c>
    </row>
    <row r="30" spans="1:8" x14ac:dyDescent="0.25">
      <c r="A30" t="s">
        <v>138</v>
      </c>
      <c r="B30" s="44">
        <f>-B29*(B23+B25)</f>
        <v>-9594.6</v>
      </c>
      <c r="C30" s="44">
        <f t="shared" ref="C30" si="14">-C29*(C23+C25)</f>
        <v>-3905.2000000000003</v>
      </c>
      <c r="D30" s="44">
        <f>-D29*(D23+D25)</f>
        <v>-5942.7470582785136</v>
      </c>
      <c r="E30" s="44">
        <f t="shared" ref="E30:H30" si="15">-E29*(E23+E25)</f>
        <v>-6117.5356493372146</v>
      </c>
      <c r="F30" s="44">
        <f t="shared" si="15"/>
        <v>-6783.0323957085993</v>
      </c>
      <c r="G30" s="44">
        <f t="shared" si="15"/>
        <v>-7601.6895663139412</v>
      </c>
      <c r="H30" s="44">
        <f t="shared" si="15"/>
        <v>-8701.5170315129944</v>
      </c>
    </row>
    <row r="31" spans="1:8" s="3" customFormat="1" x14ac:dyDescent="0.25">
      <c r="A31" s="3" t="s">
        <v>137</v>
      </c>
      <c r="B31" s="48">
        <f>B27+B30</f>
        <v>38378.400000000001</v>
      </c>
      <c r="C31" s="48">
        <f t="shared" ref="C31" si="16">C27+C30</f>
        <v>15620.8</v>
      </c>
      <c r="D31" s="48">
        <f>D27+D30</f>
        <v>14855.580233114055</v>
      </c>
      <c r="E31" s="48">
        <f t="shared" ref="E31:H31" si="17">E27+E30</f>
        <v>16493.198597348855</v>
      </c>
      <c r="F31" s="48">
        <f t="shared" si="17"/>
        <v>20093.649582834394</v>
      </c>
      <c r="G31" s="48">
        <f t="shared" si="17"/>
        <v>24306.742265255765</v>
      </c>
      <c r="H31" s="48">
        <f t="shared" si="17"/>
        <v>29644.516126051982</v>
      </c>
    </row>
  </sheetData>
  <mergeCells count="1">
    <mergeCell ref="A1:G1"/>
  </mergeCells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6FB8-CFBA-4EC7-8817-A18C375B88C8}">
  <dimension ref="A1:J30"/>
  <sheetViews>
    <sheetView topLeftCell="A4" workbookViewId="0">
      <selection activeCell="C10" sqref="C10"/>
    </sheetView>
  </sheetViews>
  <sheetFormatPr defaultRowHeight="15" x14ac:dyDescent="0.25"/>
  <cols>
    <col min="1" max="1" width="31.42578125" bestFit="1" customWidth="1"/>
  </cols>
  <sheetData>
    <row r="1" spans="1:10" ht="15.75" x14ac:dyDescent="0.25">
      <c r="A1" s="107" t="s">
        <v>151</v>
      </c>
      <c r="B1" s="108"/>
      <c r="C1" s="108"/>
      <c r="D1" s="108"/>
      <c r="E1" s="108"/>
      <c r="F1" s="108"/>
      <c r="G1" s="108"/>
    </row>
    <row r="3" spans="1:10" s="57" customFormat="1" x14ac:dyDescent="0.25">
      <c r="A3" s="56" t="s">
        <v>168</v>
      </c>
    </row>
    <row r="5" spans="1:10" x14ac:dyDescent="0.25">
      <c r="A5" s="40" t="s">
        <v>141</v>
      </c>
    </row>
    <row r="6" spans="1:10" x14ac:dyDescent="0.25">
      <c r="A6" t="s">
        <v>150</v>
      </c>
      <c r="B6" s="52">
        <f>'Calculations &amp; S&amp;U'!B12</f>
        <v>117308</v>
      </c>
    </row>
    <row r="7" spans="1:10" x14ac:dyDescent="0.25">
      <c r="A7" t="s">
        <v>149</v>
      </c>
      <c r="B7" s="53">
        <v>0.08</v>
      </c>
    </row>
    <row r="8" spans="1:10" x14ac:dyDescent="0.25">
      <c r="A8" t="s">
        <v>148</v>
      </c>
      <c r="B8" s="41">
        <v>5</v>
      </c>
    </row>
    <row r="9" spans="1:10" x14ac:dyDescent="0.25">
      <c r="A9" t="s">
        <v>165</v>
      </c>
      <c r="B9" s="53">
        <v>0.5</v>
      </c>
    </row>
    <row r="10" spans="1:10" x14ac:dyDescent="0.25">
      <c r="A10" t="s">
        <v>147</v>
      </c>
      <c r="B10" s="54" t="s">
        <v>146</v>
      </c>
    </row>
    <row r="12" spans="1:10" s="3" customFormat="1" x14ac:dyDescent="0.25">
      <c r="A12" s="3" t="s">
        <v>80</v>
      </c>
      <c r="B12" s="42" t="s">
        <v>15</v>
      </c>
      <c r="C12" s="42" t="s">
        <v>130</v>
      </c>
      <c r="D12" s="42" t="s">
        <v>131</v>
      </c>
      <c r="E12" s="42" t="s">
        <v>132</v>
      </c>
      <c r="F12" s="42" t="s">
        <v>133</v>
      </c>
      <c r="G12" s="42" t="s">
        <v>134</v>
      </c>
      <c r="I12" s="4"/>
    </row>
    <row r="13" spans="1:10" x14ac:dyDescent="0.25">
      <c r="A13" t="s">
        <v>145</v>
      </c>
      <c r="B13" s="44"/>
      <c r="C13" s="44">
        <f>B16</f>
        <v>117308</v>
      </c>
      <c r="D13" s="44">
        <f t="shared" ref="D13:G13" si="0">C16</f>
        <v>105577.2</v>
      </c>
      <c r="E13" s="44">
        <f t="shared" si="0"/>
        <v>93846.399999999994</v>
      </c>
      <c r="F13" s="44">
        <f t="shared" si="0"/>
        <v>82115.599999999991</v>
      </c>
      <c r="G13" s="44">
        <f t="shared" si="0"/>
        <v>70384.799999999988</v>
      </c>
      <c r="I13" s="91"/>
    </row>
    <row r="14" spans="1:10" x14ac:dyDescent="0.25">
      <c r="A14" t="s">
        <v>166</v>
      </c>
      <c r="B14" s="44"/>
      <c r="C14" s="44">
        <f>-$B$6*$B$9/$B$8</f>
        <v>-11730.8</v>
      </c>
      <c r="D14" s="44">
        <f t="shared" ref="D14:G14" si="1">-$B$6*$B$9/$B$8</f>
        <v>-11730.8</v>
      </c>
      <c r="E14" s="44">
        <f t="shared" si="1"/>
        <v>-11730.8</v>
      </c>
      <c r="F14" s="44">
        <f t="shared" si="1"/>
        <v>-11730.8</v>
      </c>
      <c r="G14" s="44">
        <f t="shared" si="1"/>
        <v>-11730.8</v>
      </c>
      <c r="I14" s="91"/>
    </row>
    <row r="15" spans="1:10" x14ac:dyDescent="0.25">
      <c r="A15" t="s">
        <v>167</v>
      </c>
      <c r="B15" s="44"/>
      <c r="C15" s="44"/>
      <c r="D15" s="44"/>
      <c r="E15" s="44"/>
      <c r="F15" s="44"/>
      <c r="G15" s="44">
        <f>-B6*B9</f>
        <v>-58654</v>
      </c>
      <c r="I15" s="91"/>
    </row>
    <row r="16" spans="1:10" s="3" customFormat="1" x14ac:dyDescent="0.25">
      <c r="A16" s="3" t="s">
        <v>143</v>
      </c>
      <c r="B16" s="48">
        <f>B6</f>
        <v>117308</v>
      </c>
      <c r="C16" s="48">
        <f>C13+C14+C15</f>
        <v>105577.2</v>
      </c>
      <c r="D16" s="48">
        <f t="shared" ref="D16:G16" si="2">D13+D14+D15</f>
        <v>93846.399999999994</v>
      </c>
      <c r="E16" s="48">
        <f t="shared" si="2"/>
        <v>82115.599999999991</v>
      </c>
      <c r="F16" s="48">
        <f t="shared" si="2"/>
        <v>70384.799999999988</v>
      </c>
      <c r="G16" s="48">
        <f t="shared" si="2"/>
        <v>0</v>
      </c>
      <c r="I16" s="4"/>
      <c r="J16"/>
    </row>
    <row r="17" spans="1:7" x14ac:dyDescent="0.25">
      <c r="B17" s="44"/>
      <c r="C17" s="44"/>
      <c r="D17" s="44"/>
      <c r="E17" s="44"/>
      <c r="F17" s="44"/>
      <c r="G17" s="44"/>
    </row>
    <row r="18" spans="1:7" x14ac:dyDescent="0.25">
      <c r="A18" t="s">
        <v>144</v>
      </c>
      <c r="B18" s="44">
        <v>0</v>
      </c>
      <c r="C18" s="44">
        <f>$B$7*AVERAGE(B16:C16)</f>
        <v>8915.4080000000013</v>
      </c>
      <c r="D18" s="44">
        <f t="shared" ref="D18:E18" si="3">$B$7*AVERAGE(C16:D16)</f>
        <v>7976.9439999999995</v>
      </c>
      <c r="E18" s="44">
        <f t="shared" si="3"/>
        <v>7038.4800000000005</v>
      </c>
      <c r="F18" s="44">
        <f>$B$7*AVERAGE(E16:F16)</f>
        <v>6100.0159999999987</v>
      </c>
      <c r="G18" s="44">
        <f>B7*AVERAGE(G13,G13+G14)</f>
        <v>5161.5519999999988</v>
      </c>
    </row>
    <row r="20" spans="1:7" s="57" customFormat="1" x14ac:dyDescent="0.25">
      <c r="A20" s="56" t="s">
        <v>169</v>
      </c>
    </row>
    <row r="22" spans="1:7" x14ac:dyDescent="0.25">
      <c r="A22" s="40" t="s">
        <v>141</v>
      </c>
    </row>
    <row r="23" spans="1:7" x14ac:dyDescent="0.25">
      <c r="A23" t="s">
        <v>149</v>
      </c>
      <c r="B23" s="53">
        <v>0.08</v>
      </c>
    </row>
    <row r="24" spans="1:7" x14ac:dyDescent="0.25">
      <c r="A24" t="s">
        <v>170</v>
      </c>
    </row>
    <row r="25" spans="1:7" s="3" customFormat="1" x14ac:dyDescent="0.25">
      <c r="A25" s="3" t="s">
        <v>80</v>
      </c>
      <c r="B25" s="42" t="s">
        <v>15</v>
      </c>
      <c r="C25" s="42" t="s">
        <v>130</v>
      </c>
      <c r="D25" s="42" t="s">
        <v>131</v>
      </c>
      <c r="E25" s="42" t="s">
        <v>132</v>
      </c>
      <c r="F25" s="42" t="s">
        <v>133</v>
      </c>
      <c r="G25" s="42" t="s">
        <v>134</v>
      </c>
    </row>
    <row r="26" spans="1:7" x14ac:dyDescent="0.25">
      <c r="A26" t="s">
        <v>145</v>
      </c>
      <c r="B26" s="44"/>
      <c r="C26" s="44">
        <f>B28</f>
        <v>0</v>
      </c>
      <c r="D26" s="44"/>
      <c r="E26" s="44"/>
      <c r="F26" s="44"/>
      <c r="G26" s="44"/>
    </row>
    <row r="27" spans="1:7" x14ac:dyDescent="0.25">
      <c r="A27" t="s">
        <v>171</v>
      </c>
      <c r="B27" s="44"/>
      <c r="C27" s="44">
        <f>-C26</f>
        <v>0</v>
      </c>
      <c r="D27" s="44"/>
      <c r="E27" s="44"/>
      <c r="F27" s="44"/>
      <c r="G27" s="44"/>
    </row>
    <row r="28" spans="1:7" s="3" customFormat="1" x14ac:dyDescent="0.25">
      <c r="A28" s="3" t="s">
        <v>143</v>
      </c>
      <c r="B28" s="48">
        <f>'Balance sheet'!C28+'Balance sheet'!C31+'Balance sheet'!C32</f>
        <v>0</v>
      </c>
      <c r="C28" s="48">
        <f>C26+C27</f>
        <v>0</v>
      </c>
      <c r="D28" s="48"/>
      <c r="E28" s="48"/>
      <c r="F28" s="48"/>
      <c r="G28" s="48"/>
    </row>
    <row r="29" spans="1:7" x14ac:dyDescent="0.25">
      <c r="B29" s="44"/>
      <c r="C29" s="44"/>
      <c r="D29" s="44"/>
      <c r="E29" s="44"/>
      <c r="F29" s="44"/>
      <c r="G29" s="44"/>
    </row>
    <row r="30" spans="1:7" x14ac:dyDescent="0.25">
      <c r="A30" t="s">
        <v>144</v>
      </c>
      <c r="B30" s="44"/>
      <c r="C30" s="44">
        <f>B23*C26</f>
        <v>0</v>
      </c>
      <c r="D30" s="44"/>
      <c r="E30" s="44"/>
      <c r="F30" s="44"/>
      <c r="G30" s="44"/>
    </row>
  </sheetData>
  <mergeCells count="1">
    <mergeCell ref="A1:G1"/>
  </mergeCells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73DB-8C66-44F3-8091-090E697A9383}">
  <dimension ref="A1:J29"/>
  <sheetViews>
    <sheetView workbookViewId="0">
      <selection sqref="A1:G1"/>
    </sheetView>
  </sheetViews>
  <sheetFormatPr defaultColWidth="8.85546875" defaultRowHeight="15" x14ac:dyDescent="0.25"/>
  <cols>
    <col min="1" max="1" width="31.42578125" bestFit="1" customWidth="1"/>
  </cols>
  <sheetData>
    <row r="1" spans="1:10" ht="15.75" x14ac:dyDescent="0.25">
      <c r="A1" s="107" t="s">
        <v>174</v>
      </c>
      <c r="B1" s="108"/>
      <c r="C1" s="108"/>
      <c r="D1" s="108"/>
      <c r="E1" s="108"/>
      <c r="F1" s="108"/>
      <c r="G1" s="108"/>
    </row>
    <row r="3" spans="1:10" x14ac:dyDescent="0.25">
      <c r="A3" s="66" t="s">
        <v>175</v>
      </c>
    </row>
    <row r="5" spans="1:10" s="3" customFormat="1" x14ac:dyDescent="0.25">
      <c r="A5" s="3" t="s">
        <v>80</v>
      </c>
      <c r="B5" s="42" t="s">
        <v>14</v>
      </c>
      <c r="C5" s="42" t="s">
        <v>15</v>
      </c>
      <c r="D5" s="42" t="s">
        <v>130</v>
      </c>
      <c r="E5" s="42" t="s">
        <v>131</v>
      </c>
      <c r="F5" s="42" t="s">
        <v>132</v>
      </c>
      <c r="G5" s="42" t="s">
        <v>133</v>
      </c>
      <c r="H5" s="42" t="s">
        <v>134</v>
      </c>
    </row>
    <row r="6" spans="1:10" s="3" customFormat="1" x14ac:dyDescent="0.25">
      <c r="B6" s="64"/>
      <c r="C6" s="64"/>
      <c r="D6" s="64"/>
      <c r="E6" s="64"/>
      <c r="F6" s="64"/>
      <c r="G6" s="64"/>
      <c r="H6" s="64"/>
    </row>
    <row r="7" spans="1:10" s="3" customFormat="1" x14ac:dyDescent="0.25">
      <c r="A7" s="3" t="s">
        <v>180</v>
      </c>
      <c r="B7" s="65">
        <f>'P&amp;L forecast'!B5</f>
        <v>664389</v>
      </c>
      <c r="C7" s="65">
        <f>'P&amp;L forecast'!C5</f>
        <v>653378</v>
      </c>
      <c r="D7" s="65">
        <f>'P&amp;L forecast'!D5</f>
        <v>664214.95082675898</v>
      </c>
      <c r="E7" s="65">
        <f>'P&amp;L forecast'!E5</f>
        <v>677499.24984329415</v>
      </c>
      <c r="F7" s="65">
        <f>'P&amp;L forecast'!F5</f>
        <v>704599.21983702597</v>
      </c>
      <c r="G7" s="65">
        <f>'P&amp;L forecast'!G5</f>
        <v>739829.18082887726</v>
      </c>
      <c r="H7" s="65">
        <f>'P&amp;L forecast'!H5</f>
        <v>791617.2234868987</v>
      </c>
    </row>
    <row r="8" spans="1:10" s="3" customFormat="1" x14ac:dyDescent="0.25">
      <c r="B8" s="64"/>
      <c r="C8" s="64"/>
      <c r="D8" s="64"/>
      <c r="E8" s="64"/>
      <c r="F8" s="64"/>
      <c r="G8" s="64"/>
      <c r="H8" s="64"/>
    </row>
    <row r="9" spans="1:10" x14ac:dyDescent="0.25">
      <c r="A9" s="59" t="s">
        <v>176</v>
      </c>
      <c r="B9" s="63">
        <f>'Balance sheet'!B4</f>
        <v>153890</v>
      </c>
      <c r="C9" s="63">
        <f>'Balance sheet'!C4</f>
        <v>156738</v>
      </c>
      <c r="D9" s="63">
        <f>D10*D$7</f>
        <v>159337.6620619068</v>
      </c>
      <c r="E9" s="63">
        <f t="shared" ref="E9:H9" si="0">E10*E$7</f>
        <v>162524.41530314492</v>
      </c>
      <c r="F9" s="63">
        <f t="shared" si="0"/>
        <v>169025.39191527074</v>
      </c>
      <c r="G9" s="63">
        <f t="shared" si="0"/>
        <v>177476.6615110343</v>
      </c>
      <c r="H9" s="63">
        <f t="shared" si="0"/>
        <v>189900.02781680669</v>
      </c>
      <c r="I9" s="60"/>
      <c r="J9" s="60"/>
    </row>
    <row r="10" spans="1:10" x14ac:dyDescent="0.25">
      <c r="A10" s="61" t="s">
        <v>181</v>
      </c>
      <c r="B10" s="62">
        <f>B9/B7</f>
        <v>0.23162635142965943</v>
      </c>
      <c r="C10" s="62">
        <f>C9/C7</f>
        <v>0.23988870148673508</v>
      </c>
      <c r="D10" s="58">
        <f>C10</f>
        <v>0.23988870148673508</v>
      </c>
      <c r="E10" s="58">
        <f t="shared" ref="E10:H10" si="1">D10</f>
        <v>0.23988870148673508</v>
      </c>
      <c r="F10" s="58">
        <f t="shared" si="1"/>
        <v>0.23988870148673508</v>
      </c>
      <c r="G10" s="58">
        <f t="shared" si="1"/>
        <v>0.23988870148673508</v>
      </c>
      <c r="H10" s="58">
        <f t="shared" si="1"/>
        <v>0.23988870148673508</v>
      </c>
      <c r="I10" s="62"/>
      <c r="J10" s="62"/>
    </row>
    <row r="11" spans="1:10" x14ac:dyDescent="0.25">
      <c r="A11" s="59" t="s">
        <v>177</v>
      </c>
      <c r="B11" s="63">
        <f>'Balance sheet'!B3</f>
        <v>86044</v>
      </c>
      <c r="C11" s="63">
        <f>'Balance sheet'!C3</f>
        <v>93382</v>
      </c>
      <c r="D11" s="63">
        <f>D12*D$7</f>
        <v>94930.837184760443</v>
      </c>
      <c r="E11" s="63">
        <f t="shared" ref="E11" si="2">E12*E$7</f>
        <v>96829.453928455638</v>
      </c>
      <c r="F11" s="63">
        <f t="shared" ref="F11" si="3">F12*F$7</f>
        <v>100702.63208559388</v>
      </c>
      <c r="G11" s="63">
        <f t="shared" ref="G11" si="4">G12*G$7</f>
        <v>105737.76368987357</v>
      </c>
      <c r="H11" s="63">
        <f t="shared" ref="H11" si="5">H12*H$7</f>
        <v>113139.40714816473</v>
      </c>
      <c r="I11" s="60"/>
      <c r="J11" s="60"/>
    </row>
    <row r="12" spans="1:10" s="3" customFormat="1" x14ac:dyDescent="0.25">
      <c r="A12" s="61" t="s">
        <v>181</v>
      </c>
      <c r="B12" s="62">
        <f>B11/B7</f>
        <v>0.1295084656729717</v>
      </c>
      <c r="C12" s="62">
        <f>C11/C7</f>
        <v>0.14292186146457334</v>
      </c>
      <c r="D12" s="58">
        <f>C12</f>
        <v>0.14292186146457334</v>
      </c>
      <c r="E12" s="58">
        <f t="shared" ref="E12:H12" si="6">D12</f>
        <v>0.14292186146457334</v>
      </c>
      <c r="F12" s="58">
        <f t="shared" si="6"/>
        <v>0.14292186146457334</v>
      </c>
      <c r="G12" s="58">
        <f t="shared" si="6"/>
        <v>0.14292186146457334</v>
      </c>
      <c r="H12" s="58">
        <f t="shared" si="6"/>
        <v>0.14292186146457334</v>
      </c>
      <c r="I12" s="62"/>
      <c r="J12" s="62"/>
    </row>
    <row r="13" spans="1:10" x14ac:dyDescent="0.25">
      <c r="A13" s="59" t="s">
        <v>38</v>
      </c>
      <c r="B13" s="63">
        <f>'Balance sheet'!B5</f>
        <v>17962</v>
      </c>
      <c r="C13" s="63">
        <f>'Balance sheet'!C5</f>
        <v>21786</v>
      </c>
      <c r="D13" s="63">
        <f>D14*D$7</f>
        <v>22147.343373532276</v>
      </c>
      <c r="E13" s="63">
        <f t="shared" ref="E13" si="7">E14*E$7</f>
        <v>22590.290241002924</v>
      </c>
      <c r="F13" s="63">
        <f t="shared" ref="F13" si="8">F14*F$7</f>
        <v>23493.90185064304</v>
      </c>
      <c r="G13" s="63">
        <f t="shared" ref="G13" si="9">G14*G$7</f>
        <v>24668.596943175191</v>
      </c>
      <c r="H13" s="63">
        <f t="shared" ref="H13" si="10">H14*H$7</f>
        <v>26395.398729197455</v>
      </c>
      <c r="I13" s="60"/>
      <c r="J13" s="60"/>
    </row>
    <row r="14" spans="1:10" x14ac:dyDescent="0.25">
      <c r="A14" s="61" t="s">
        <v>181</v>
      </c>
      <c r="B14" s="62">
        <f>B13/B7</f>
        <v>2.7035366329063244E-2</v>
      </c>
      <c r="C14" s="62">
        <f>C13/C7</f>
        <v>3.3343638751228234E-2</v>
      </c>
      <c r="D14" s="58">
        <f>C14</f>
        <v>3.3343638751228234E-2</v>
      </c>
      <c r="E14" s="58">
        <f t="shared" ref="E14:H14" si="11">D14</f>
        <v>3.3343638751228234E-2</v>
      </c>
      <c r="F14" s="58">
        <f t="shared" si="11"/>
        <v>3.3343638751228234E-2</v>
      </c>
      <c r="G14" s="58">
        <f t="shared" si="11"/>
        <v>3.3343638751228234E-2</v>
      </c>
      <c r="H14" s="58">
        <f t="shared" si="11"/>
        <v>3.3343638751228234E-2</v>
      </c>
      <c r="I14" s="62"/>
      <c r="J14" s="62"/>
    </row>
    <row r="15" spans="1:10" x14ac:dyDescent="0.25">
      <c r="A15" s="59" t="s">
        <v>178</v>
      </c>
      <c r="B15" s="63">
        <f>'Balance sheet'!B11</f>
        <v>32775</v>
      </c>
      <c r="C15" s="63">
        <f>'Balance sheet'!C11</f>
        <v>34312</v>
      </c>
      <c r="D15" s="63">
        <f>D16*D$7</f>
        <v>34881.100056579431</v>
      </c>
      <c r="E15" s="63">
        <f t="shared" ref="E15" si="12">E16*E$7</f>
        <v>35578.72205771102</v>
      </c>
      <c r="F15" s="63">
        <f t="shared" ref="F15" si="13">F16*F$7</f>
        <v>37001.870940019464</v>
      </c>
      <c r="G15" s="63">
        <f t="shared" ref="G15" si="14">G16*G$7</f>
        <v>38851.964487020436</v>
      </c>
      <c r="H15" s="63">
        <f t="shared" ref="H15" si="15">H16*H$7</f>
        <v>41571.602001111867</v>
      </c>
      <c r="I15" s="60"/>
      <c r="J15" s="60"/>
    </row>
    <row r="16" spans="1:10" x14ac:dyDescent="0.25">
      <c r="A16" s="61" t="s">
        <v>181</v>
      </c>
      <c r="B16" s="62">
        <f>B15/B7</f>
        <v>4.9331039496439584E-2</v>
      </c>
      <c r="C16" s="62">
        <f>C15/C7</f>
        <v>5.2514777050956724E-2</v>
      </c>
      <c r="D16" s="58">
        <f>C16</f>
        <v>5.2514777050956724E-2</v>
      </c>
      <c r="E16" s="58">
        <f t="shared" ref="E16:H16" si="16">D16</f>
        <v>5.2514777050956724E-2</v>
      </c>
      <c r="F16" s="58">
        <f t="shared" si="16"/>
        <v>5.2514777050956724E-2</v>
      </c>
      <c r="G16" s="58">
        <f t="shared" si="16"/>
        <v>5.2514777050956724E-2</v>
      </c>
      <c r="H16" s="58">
        <f t="shared" si="16"/>
        <v>5.2514777050956724E-2</v>
      </c>
      <c r="I16" s="62"/>
      <c r="J16" s="62"/>
    </row>
    <row r="17" spans="1:10" x14ac:dyDescent="0.25">
      <c r="A17" s="59" t="s">
        <v>179</v>
      </c>
      <c r="B17" s="63">
        <f>'Balance sheet'!B12+'Balance sheet'!B15</f>
        <v>38695</v>
      </c>
      <c r="C17" s="63">
        <f>'Balance sheet'!C12+'Balance sheet'!C15</f>
        <v>42610</v>
      </c>
      <c r="D17" s="63">
        <f>D18*D$7</f>
        <v>43316.730980731212</v>
      </c>
      <c r="E17" s="63">
        <f t="shared" ref="E17" si="17">E18*E$7</f>
        <v>44183.065600345835</v>
      </c>
      <c r="F17" s="63">
        <f t="shared" ref="F17" si="18">F18*F$7</f>
        <v>45950.388224359674</v>
      </c>
      <c r="G17" s="63">
        <f t="shared" ref="G17" si="19">G18*G$7</f>
        <v>48247.907635577656</v>
      </c>
      <c r="H17" s="63">
        <f t="shared" ref="H17" si="20">H18*H$7</f>
        <v>51625.261170068101</v>
      </c>
      <c r="I17" s="60"/>
      <c r="J17" s="60"/>
    </row>
    <row r="18" spans="1:10" x14ac:dyDescent="0.25">
      <c r="A18" s="61" t="s">
        <v>181</v>
      </c>
      <c r="B18" s="62">
        <f>B17/B7</f>
        <v>5.8241482023332715E-2</v>
      </c>
      <c r="C18" s="62">
        <f>C17/C7</f>
        <v>6.521492918341297E-2</v>
      </c>
      <c r="D18" s="58">
        <f>C18</f>
        <v>6.521492918341297E-2</v>
      </c>
      <c r="E18" s="58">
        <f t="shared" ref="E18:H18" si="21">D18</f>
        <v>6.521492918341297E-2</v>
      </c>
      <c r="F18" s="58">
        <f t="shared" si="21"/>
        <v>6.521492918341297E-2</v>
      </c>
      <c r="G18" s="58">
        <f t="shared" si="21"/>
        <v>6.521492918341297E-2</v>
      </c>
      <c r="H18" s="58">
        <f t="shared" si="21"/>
        <v>6.521492918341297E-2</v>
      </c>
      <c r="I18" s="62"/>
      <c r="J18" s="62"/>
    </row>
    <row r="20" spans="1:10" s="3" customFormat="1" x14ac:dyDescent="0.25">
      <c r="A20" s="3" t="s">
        <v>182</v>
      </c>
      <c r="B20" s="4">
        <f>B9+B11+B13-B15-B17</f>
        <v>186426</v>
      </c>
      <c r="C20" s="4">
        <f>C9+C11+C13-C15-C17</f>
        <v>194984</v>
      </c>
      <c r="D20" s="4">
        <f t="shared" ref="D20:H20" si="22">D9+D11+D13-D15-D17</f>
        <v>198218.0115828889</v>
      </c>
      <c r="E20" s="4">
        <f t="shared" si="22"/>
        <v>202182.37181454661</v>
      </c>
      <c r="F20" s="4">
        <f t="shared" si="22"/>
        <v>210269.66668712848</v>
      </c>
      <c r="G20" s="4">
        <f t="shared" si="22"/>
        <v>220783.15002148494</v>
      </c>
      <c r="H20" s="4">
        <f t="shared" si="22"/>
        <v>236237.97052298888</v>
      </c>
    </row>
    <row r="21" spans="1:10" s="36" customFormat="1" x14ac:dyDescent="0.25">
      <c r="A21" s="67" t="s">
        <v>181</v>
      </c>
      <c r="B21" s="68">
        <f>B20/B7</f>
        <v>0.28059766191192209</v>
      </c>
      <c r="C21" s="68">
        <f t="shared" ref="C21:H21" si="23">C20/C7</f>
        <v>0.29842449546816696</v>
      </c>
      <c r="D21" s="68">
        <f t="shared" si="23"/>
        <v>0.29842449546816696</v>
      </c>
      <c r="E21" s="68">
        <f t="shared" si="23"/>
        <v>0.29842449546816691</v>
      </c>
      <c r="F21" s="68">
        <f t="shared" si="23"/>
        <v>0.29842449546816691</v>
      </c>
      <c r="G21" s="68">
        <f t="shared" si="23"/>
        <v>0.29842449546816696</v>
      </c>
      <c r="H21" s="68">
        <f t="shared" si="23"/>
        <v>0.29842449546816691</v>
      </c>
    </row>
    <row r="22" spans="1:10" x14ac:dyDescent="0.25">
      <c r="A22" t="s">
        <v>183</v>
      </c>
      <c r="C22" s="2">
        <f>C20-B20</f>
        <v>8558</v>
      </c>
      <c r="D22" s="2">
        <f t="shared" ref="D22:H22" si="24">D20-C20</f>
        <v>3234.0115828888956</v>
      </c>
      <c r="E22" s="2">
        <f t="shared" si="24"/>
        <v>3964.3602316577162</v>
      </c>
      <c r="F22" s="2">
        <f t="shared" si="24"/>
        <v>8087.2948725818715</v>
      </c>
      <c r="G22" s="2">
        <f t="shared" si="24"/>
        <v>10513.483334356453</v>
      </c>
      <c r="H22" s="2">
        <f t="shared" si="24"/>
        <v>15454.820501503942</v>
      </c>
    </row>
    <row r="24" spans="1:10" x14ac:dyDescent="0.25">
      <c r="A24" s="66" t="s">
        <v>184</v>
      </c>
    </row>
    <row r="26" spans="1:10" s="3" customFormat="1" x14ac:dyDescent="0.25">
      <c r="A26" s="3" t="s">
        <v>80</v>
      </c>
      <c r="B26" s="42" t="s">
        <v>14</v>
      </c>
      <c r="C26" s="42" t="s">
        <v>15</v>
      </c>
      <c r="D26" s="42" t="s">
        <v>130</v>
      </c>
      <c r="E26" s="42" t="s">
        <v>131</v>
      </c>
      <c r="F26" s="42" t="s">
        <v>132</v>
      </c>
      <c r="G26" s="42" t="s">
        <v>133</v>
      </c>
      <c r="H26" s="42" t="s">
        <v>134</v>
      </c>
    </row>
    <row r="27" spans="1:10" s="3" customFormat="1" x14ac:dyDescent="0.25">
      <c r="B27" s="64"/>
      <c r="C27" s="64"/>
      <c r="D27" s="64"/>
      <c r="E27" s="64"/>
      <c r="F27" s="64"/>
      <c r="G27" s="64"/>
      <c r="H27" s="64"/>
    </row>
    <row r="28" spans="1:10" s="3" customFormat="1" x14ac:dyDescent="0.25">
      <c r="A28" s="3" t="s">
        <v>184</v>
      </c>
      <c r="B28" s="65">
        <f>'Cash flows'!B7</f>
        <v>-8223</v>
      </c>
      <c r="C28" s="65">
        <f>'Cash flows'!C7</f>
        <v>-7966</v>
      </c>
      <c r="D28" s="65">
        <f>'Cash flows'!D7</f>
        <v>-4393.3090452261304</v>
      </c>
      <c r="E28" s="69">
        <f>D28-1000</f>
        <v>-5393.3090452261304</v>
      </c>
      <c r="F28" s="69">
        <f t="shared" ref="F28:H28" si="25">E28-1000</f>
        <v>-6393.3090452261304</v>
      </c>
      <c r="G28" s="69">
        <f t="shared" si="25"/>
        <v>-7393.3090452261304</v>
      </c>
      <c r="H28" s="69">
        <f t="shared" si="25"/>
        <v>-8393.3090452261313</v>
      </c>
    </row>
    <row r="29" spans="1:10" s="3" customFormat="1" x14ac:dyDescent="0.25">
      <c r="B29" s="64"/>
      <c r="C29" s="64"/>
      <c r="D29" s="64"/>
      <c r="E29" s="64"/>
      <c r="F29" s="64"/>
      <c r="G29" s="64"/>
      <c r="H29" s="64"/>
    </row>
  </sheetData>
  <mergeCells count="1">
    <mergeCell ref="A1:G1"/>
  </mergeCells>
  <phoneticPr fontId="1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21CD-2CCE-450C-8358-127F3B6C3C67}">
  <dimension ref="A1:K14"/>
  <sheetViews>
    <sheetView workbookViewId="0">
      <selection sqref="A1:G1"/>
    </sheetView>
  </sheetViews>
  <sheetFormatPr defaultRowHeight="15" x14ac:dyDescent="0.25"/>
  <cols>
    <col min="1" max="1" width="32.5703125" customWidth="1"/>
  </cols>
  <sheetData>
    <row r="1" spans="1:11" ht="15.75" x14ac:dyDescent="0.25">
      <c r="A1" s="107" t="s">
        <v>142</v>
      </c>
      <c r="B1" s="108"/>
      <c r="C1" s="108"/>
      <c r="D1" s="108"/>
      <c r="E1" s="108"/>
      <c r="F1" s="108"/>
      <c r="G1" s="108"/>
    </row>
    <row r="3" spans="1:11" x14ac:dyDescent="0.25">
      <c r="A3" s="40" t="s">
        <v>140</v>
      </c>
    </row>
    <row r="4" spans="1:11" s="3" customFormat="1" x14ac:dyDescent="0.25">
      <c r="A4" s="3" t="s">
        <v>0</v>
      </c>
      <c r="B4" s="42" t="s">
        <v>14</v>
      </c>
      <c r="C4" s="42" t="s">
        <v>15</v>
      </c>
      <c r="D4" s="42" t="s">
        <v>16</v>
      </c>
      <c r="E4" s="42" t="s">
        <v>156</v>
      </c>
      <c r="F4" s="42" t="s">
        <v>157</v>
      </c>
      <c r="G4" s="42" t="s">
        <v>158</v>
      </c>
      <c r="H4" s="42" t="s">
        <v>159</v>
      </c>
    </row>
    <row r="5" spans="1:11" s="3" customFormat="1" x14ac:dyDescent="0.25">
      <c r="A5" s="7" t="s">
        <v>136</v>
      </c>
      <c r="B5" s="49"/>
      <c r="C5" s="49"/>
      <c r="D5" s="49">
        <f>'P&amp;L forecast'!D15</f>
        <v>39131.431843116705</v>
      </c>
      <c r="E5" s="49">
        <f>'P&amp;L forecast'!E15</f>
        <v>40305.374798410208</v>
      </c>
      <c r="F5" s="49">
        <f>'P&amp;L forecast'!F15</f>
        <v>43932.858530267127</v>
      </c>
      <c r="G5" s="49">
        <f>'P&amp;L forecast'!G15</f>
        <v>48326.144383293846</v>
      </c>
      <c r="H5" s="49">
        <f>'P&amp;L forecast'!H15</f>
        <v>54125.281709289113</v>
      </c>
    </row>
    <row r="6" spans="1:11" s="36" customFormat="1" x14ac:dyDescent="0.25">
      <c r="A6" s="7" t="s">
        <v>62</v>
      </c>
      <c r="B6" s="49"/>
      <c r="C6" s="49"/>
      <c r="D6" s="49">
        <f>-'WC &amp; CAPEX'!D22</f>
        <v>-3234.0115828888956</v>
      </c>
      <c r="E6" s="49">
        <f>-'WC &amp; CAPEX'!E22</f>
        <v>-3964.3602316577162</v>
      </c>
      <c r="F6" s="49">
        <f>-'WC &amp; CAPEX'!F22</f>
        <v>-8087.2948725818715</v>
      </c>
      <c r="G6" s="49">
        <f>-'WC &amp; CAPEX'!G22</f>
        <v>-10513.483334356453</v>
      </c>
      <c r="H6" s="49">
        <f>-'WC &amp; CAPEX'!H22</f>
        <v>-15454.820501503942</v>
      </c>
    </row>
    <row r="7" spans="1:11" s="3" customFormat="1" x14ac:dyDescent="0.25">
      <c r="A7" s="18" t="s">
        <v>64</v>
      </c>
      <c r="B7" s="47"/>
      <c r="C7" s="47"/>
      <c r="D7" s="47">
        <f>D5+D6</f>
        <v>35897.420260227809</v>
      </c>
      <c r="E7" s="47">
        <f t="shared" ref="E7:H7" si="0">E5+E6</f>
        <v>36341.014566752492</v>
      </c>
      <c r="F7" s="47">
        <f t="shared" si="0"/>
        <v>35845.563657685256</v>
      </c>
      <c r="G7" s="47">
        <f t="shared" si="0"/>
        <v>37812.661048937392</v>
      </c>
      <c r="H7" s="47">
        <f t="shared" si="0"/>
        <v>38670.461207785171</v>
      </c>
    </row>
    <row r="8" spans="1:11" s="36" customFormat="1" x14ac:dyDescent="0.25">
      <c r="A8" s="7" t="s">
        <v>65</v>
      </c>
      <c r="B8" s="49"/>
      <c r="C8" s="49"/>
      <c r="D8" s="49">
        <f>'WC &amp; CAPEX'!D28</f>
        <v>-4393.3090452261304</v>
      </c>
      <c r="E8" s="49">
        <f>'WC &amp; CAPEX'!E28</f>
        <v>-5393.3090452261304</v>
      </c>
      <c r="F8" s="49">
        <f>'WC &amp; CAPEX'!F28</f>
        <v>-6393.3090452261304</v>
      </c>
      <c r="G8" s="49">
        <f>'WC &amp; CAPEX'!G28</f>
        <v>-7393.3090452261304</v>
      </c>
      <c r="H8" s="49">
        <f>'WC &amp; CAPEX'!H28</f>
        <v>-8393.3090452261313</v>
      </c>
    </row>
    <row r="9" spans="1:11" x14ac:dyDescent="0.25">
      <c r="A9" s="18" t="s">
        <v>67</v>
      </c>
      <c r="B9" s="47"/>
      <c r="C9" s="47"/>
      <c r="D9" s="47">
        <f>D8</f>
        <v>-4393.3090452261304</v>
      </c>
      <c r="E9" s="47">
        <f>E8</f>
        <v>-5393.3090452261304</v>
      </c>
      <c r="F9" s="47">
        <f>F8</f>
        <v>-6393.3090452261304</v>
      </c>
      <c r="G9" s="47">
        <f>G8</f>
        <v>-7393.3090452261304</v>
      </c>
      <c r="H9" s="47">
        <f>H8</f>
        <v>-8393.3090452261313</v>
      </c>
    </row>
    <row r="10" spans="1:11" s="36" customFormat="1" x14ac:dyDescent="0.25">
      <c r="A10" s="7" t="s">
        <v>189</v>
      </c>
      <c r="B10" s="49"/>
      <c r="C10" s="49"/>
      <c r="D10" s="49">
        <f>Debt!C14+Debt!C15+Debt!C27</f>
        <v>-11730.8</v>
      </c>
      <c r="E10" s="49">
        <f>Debt!D14+Debt!D15+Debt!D27</f>
        <v>-11730.8</v>
      </c>
      <c r="F10" s="49">
        <f>Debt!E14+Debt!E15+Debt!E27</f>
        <v>-11730.8</v>
      </c>
      <c r="G10" s="49">
        <f>Debt!F14+Debt!F15+Debt!F27</f>
        <v>-11730.8</v>
      </c>
      <c r="H10" s="49">
        <f>Debt!G14+Debt!G15+Debt!G27</f>
        <v>-70384.800000000003</v>
      </c>
    </row>
    <row r="11" spans="1:11" s="36" customFormat="1" x14ac:dyDescent="0.25">
      <c r="A11" s="7" t="s">
        <v>185</v>
      </c>
      <c r="B11" s="72"/>
      <c r="C11" s="72"/>
      <c r="D11" s="72">
        <f>-Debt!C18-Debt!C30</f>
        <v>-8915.4080000000013</v>
      </c>
      <c r="E11" s="72">
        <f>-Debt!D18-Debt!D30</f>
        <v>-7976.9439999999995</v>
      </c>
      <c r="F11" s="72">
        <f>-Debt!E18-Debt!E30</f>
        <v>-7038.4800000000005</v>
      </c>
      <c r="G11" s="72">
        <f>-Debt!F18-Debt!F30</f>
        <v>-6100.0159999999987</v>
      </c>
      <c r="H11" s="72">
        <f>-Debt!G18-Debt!G30</f>
        <v>-5161.5519999999988</v>
      </c>
    </row>
    <row r="12" spans="1:11" x14ac:dyDescent="0.25">
      <c r="A12" s="18" t="s">
        <v>71</v>
      </c>
      <c r="B12" s="70"/>
      <c r="C12" s="70"/>
      <c r="D12" s="70">
        <f>D10+D11</f>
        <v>-20646.207999999999</v>
      </c>
      <c r="E12" s="70">
        <f>E10+E11</f>
        <v>-19707.743999999999</v>
      </c>
      <c r="F12" s="70">
        <f>F10+F11</f>
        <v>-18769.28</v>
      </c>
      <c r="G12" s="70">
        <f>G10+G11</f>
        <v>-17830.815999999999</v>
      </c>
      <c r="H12" s="70">
        <f>H10+H11</f>
        <v>-75546.351999999999</v>
      </c>
    </row>
    <row r="13" spans="1:11" x14ac:dyDescent="0.25">
      <c r="A13" s="23" t="s">
        <v>72</v>
      </c>
      <c r="B13" s="71"/>
      <c r="C13" s="71"/>
      <c r="D13" s="71">
        <f>D7+D9+D12</f>
        <v>10857.903215001679</v>
      </c>
      <c r="E13" s="71">
        <f t="shared" ref="E13:H13" si="1">E7+E9+E12</f>
        <v>11239.961521526362</v>
      </c>
      <c r="F13" s="71">
        <f t="shared" si="1"/>
        <v>10682.974612459126</v>
      </c>
      <c r="G13" s="71">
        <f t="shared" si="1"/>
        <v>12588.536003711262</v>
      </c>
      <c r="H13" s="71">
        <f t="shared" si="1"/>
        <v>-45269.19983744096</v>
      </c>
      <c r="K13" t="s">
        <v>170</v>
      </c>
    </row>
    <row r="14" spans="1:11" x14ac:dyDescent="0.25">
      <c r="A14" s="73" t="s">
        <v>186</v>
      </c>
      <c r="B14" s="71"/>
      <c r="C14" s="71">
        <f>-'Balance sheet'!C29</f>
        <v>208501</v>
      </c>
      <c r="D14" s="71">
        <f>C14+D13</f>
        <v>219358.90321500169</v>
      </c>
      <c r="E14" s="71">
        <f t="shared" ref="E14:H14" si="2">D14+E13</f>
        <v>230598.86473652805</v>
      </c>
      <c r="F14" s="71">
        <f t="shared" si="2"/>
        <v>241281.83934898718</v>
      </c>
      <c r="G14" s="71">
        <f t="shared" si="2"/>
        <v>253870.37535269844</v>
      </c>
      <c r="H14" s="71">
        <f t="shared" si="2"/>
        <v>208601.17551525746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ECB7-6BF2-487A-8D9F-73A1EBB4CC3F}">
  <dimension ref="A1:J28"/>
  <sheetViews>
    <sheetView zoomScale="85" zoomScaleNormal="85" workbookViewId="0">
      <selection activeCell="D21" sqref="D21"/>
    </sheetView>
  </sheetViews>
  <sheetFormatPr defaultRowHeight="15" x14ac:dyDescent="0.25"/>
  <cols>
    <col min="1" max="1" width="39.85546875" customWidth="1"/>
    <col min="2" max="2" width="28.42578125" customWidth="1"/>
    <col min="3" max="7" width="12.140625" customWidth="1"/>
  </cols>
  <sheetData>
    <row r="1" spans="1:10" ht="15.75" x14ac:dyDescent="0.25">
      <c r="A1" s="107" t="s">
        <v>242</v>
      </c>
      <c r="B1" s="108"/>
      <c r="C1" s="108"/>
      <c r="D1" s="108"/>
      <c r="E1" s="108"/>
      <c r="F1" s="108"/>
      <c r="G1" s="108"/>
    </row>
    <row r="2" spans="1:10" x14ac:dyDescent="0.25">
      <c r="A2" s="40" t="s">
        <v>141</v>
      </c>
    </row>
    <row r="3" spans="1:10" x14ac:dyDescent="0.25">
      <c r="A3" t="s">
        <v>190</v>
      </c>
      <c r="B3" s="52">
        <f>'Calculations &amp; S&amp;U'!B24</f>
        <v>274989.5</v>
      </c>
    </row>
    <row r="4" spans="1:10" x14ac:dyDescent="0.25">
      <c r="A4" t="s">
        <v>155</v>
      </c>
      <c r="B4" s="41">
        <v>2025</v>
      </c>
      <c r="C4" t="s">
        <v>245</v>
      </c>
    </row>
    <row r="5" spans="1:10" x14ac:dyDescent="0.25">
      <c r="A5" t="s">
        <v>154</v>
      </c>
      <c r="B5" s="90">
        <v>12</v>
      </c>
    </row>
    <row r="6" spans="1:10" x14ac:dyDescent="0.25">
      <c r="A6" t="s">
        <v>153</v>
      </c>
      <c r="B6" s="53">
        <v>0.7</v>
      </c>
    </row>
    <row r="7" spans="1:10" x14ac:dyDescent="0.25">
      <c r="A7" t="s">
        <v>191</v>
      </c>
      <c r="B7" s="53">
        <v>0.02</v>
      </c>
    </row>
    <row r="8" spans="1:10" x14ac:dyDescent="0.25">
      <c r="A8" t="s">
        <v>203</v>
      </c>
      <c r="B8" s="53">
        <v>0.05</v>
      </c>
    </row>
    <row r="9" spans="1:10" x14ac:dyDescent="0.25">
      <c r="A9" t="s">
        <v>246</v>
      </c>
      <c r="B9">
        <v>2024</v>
      </c>
      <c r="C9">
        <v>2025</v>
      </c>
      <c r="D9">
        <v>2026</v>
      </c>
      <c r="E9">
        <v>2027</v>
      </c>
      <c r="F9">
        <v>2028</v>
      </c>
      <c r="G9">
        <v>2029</v>
      </c>
    </row>
    <row r="10" spans="1:10" x14ac:dyDescent="0.25">
      <c r="B10" s="42" t="s">
        <v>243</v>
      </c>
      <c r="C10" s="42" t="s">
        <v>244</v>
      </c>
      <c r="D10" s="42" t="s">
        <v>238</v>
      </c>
      <c r="E10" s="42" t="s">
        <v>239</v>
      </c>
      <c r="F10" s="42" t="s">
        <v>240</v>
      </c>
      <c r="G10" s="42" t="s">
        <v>241</v>
      </c>
    </row>
    <row r="11" spans="1:10" x14ac:dyDescent="0.25">
      <c r="A11" s="81" t="s">
        <v>192</v>
      </c>
      <c r="B11" s="82">
        <f>'P&amp;L forecast'!C19</f>
        <v>29327</v>
      </c>
      <c r="C11" s="82">
        <f>'P&amp;L forecast'!D19</f>
        <v>39131.431843116705</v>
      </c>
      <c r="D11" s="82">
        <f>'P&amp;L forecast'!E19</f>
        <v>40305.374798410208</v>
      </c>
      <c r="E11" s="82">
        <f>'P&amp;L forecast'!F19</f>
        <v>43932.858530267127</v>
      </c>
      <c r="F11" s="82">
        <f>'P&amp;L forecast'!G19</f>
        <v>48326.144383293846</v>
      </c>
      <c r="G11" s="82">
        <f>'P&amp;L forecast'!H19</f>
        <v>54125.281709289113</v>
      </c>
    </row>
    <row r="12" spans="1:10" x14ac:dyDescent="0.25">
      <c r="A12" s="83" t="s">
        <v>197</v>
      </c>
      <c r="B12" s="84"/>
      <c r="C12" s="84">
        <f>C11*$B$5</f>
        <v>469577.18211740046</v>
      </c>
      <c r="D12" s="84">
        <f t="shared" ref="D12:G12" si="0">D11*$B$5</f>
        <v>483664.4975809225</v>
      </c>
      <c r="E12" s="84">
        <f t="shared" si="0"/>
        <v>527194.30236320547</v>
      </c>
      <c r="F12" s="84">
        <f t="shared" si="0"/>
        <v>579913.73259952618</v>
      </c>
      <c r="G12" s="84">
        <f t="shared" si="0"/>
        <v>649503.38051146932</v>
      </c>
    </row>
    <row r="13" spans="1:10" x14ac:dyDescent="0.25">
      <c r="A13" s="79" t="s">
        <v>198</v>
      </c>
      <c r="B13" s="63">
        <f>Debt!B16+Debt!B28</f>
        <v>117308</v>
      </c>
      <c r="C13" s="63">
        <f>Debt!C16+Debt!C28</f>
        <v>105577.2</v>
      </c>
      <c r="D13" s="63">
        <f>Debt!D16+Debt!D28</f>
        <v>93846.399999999994</v>
      </c>
      <c r="E13" s="63">
        <f>Debt!E16+Debt!E28</f>
        <v>82115.599999999991</v>
      </c>
      <c r="F13" s="63">
        <f>Debt!F16+Debt!F28</f>
        <v>70384.799999999988</v>
      </c>
      <c r="G13" s="63">
        <f>Debt!G16+Debt!G28</f>
        <v>0</v>
      </c>
    </row>
    <row r="14" spans="1:10" x14ac:dyDescent="0.25">
      <c r="A14" s="79" t="s">
        <v>199</v>
      </c>
      <c r="B14" s="63">
        <f>'CF forecast'!C14</f>
        <v>208501</v>
      </c>
      <c r="C14" s="63">
        <f>'CF forecast'!D14</f>
        <v>219358.90321500169</v>
      </c>
      <c r="D14" s="63">
        <f>'CF forecast'!E14</f>
        <v>230598.86473652805</v>
      </c>
      <c r="E14" s="63">
        <f>'CF forecast'!F14</f>
        <v>241281.83934898718</v>
      </c>
      <c r="F14" s="63">
        <f>'CF forecast'!G14</f>
        <v>253870.37535269844</v>
      </c>
      <c r="G14" s="63">
        <f>'CF forecast'!H14</f>
        <v>208601.17551525746</v>
      </c>
    </row>
    <row r="15" spans="1:10" s="3" customFormat="1" x14ac:dyDescent="0.25">
      <c r="A15" s="80" t="s">
        <v>193</v>
      </c>
      <c r="B15" s="78">
        <f>B13-B14</f>
        <v>-91193</v>
      </c>
      <c r="C15" s="78">
        <f>C13-C14</f>
        <v>-113781.70321500169</v>
      </c>
      <c r="D15" s="78">
        <f t="shared" ref="D15:G15" si="1">D13-D14</f>
        <v>-136752.46473652805</v>
      </c>
      <c r="E15" s="78">
        <f t="shared" si="1"/>
        <v>-159166.23934898718</v>
      </c>
      <c r="F15" s="78">
        <f t="shared" si="1"/>
        <v>-183485.57535269845</v>
      </c>
      <c r="G15" s="78">
        <f t="shared" si="1"/>
        <v>-208601.17551525746</v>
      </c>
      <c r="I15" s="4"/>
      <c r="J15" s="4"/>
    </row>
    <row r="16" spans="1:10" s="36" customFormat="1" x14ac:dyDescent="0.25">
      <c r="A16" s="67" t="s">
        <v>200</v>
      </c>
      <c r="B16" s="85">
        <f>B15/B11</f>
        <v>-3.1095236471510894</v>
      </c>
      <c r="C16" s="85">
        <f>C15/C11</f>
        <v>-2.9076805487508914</v>
      </c>
      <c r="D16" s="85">
        <f t="shared" ref="D16:G16" si="2">D15/D11</f>
        <v>-3.3929088966546983</v>
      </c>
      <c r="E16" s="85">
        <f t="shared" si="2"/>
        <v>-3.6229429332337002</v>
      </c>
      <c r="F16" s="85">
        <f t="shared" si="2"/>
        <v>-3.7968180100899724</v>
      </c>
      <c r="G16" s="85">
        <f t="shared" si="2"/>
        <v>-3.8540432294776736</v>
      </c>
    </row>
    <row r="17" spans="1:7" x14ac:dyDescent="0.25">
      <c r="A17" s="74" t="s">
        <v>194</v>
      </c>
      <c r="B17" s="78"/>
      <c r="C17" s="78">
        <f>C12-C15</f>
        <v>583358.88533240219</v>
      </c>
      <c r="D17" s="78">
        <f t="shared" ref="D17:G17" si="3">D12-D15</f>
        <v>620416.96231745055</v>
      </c>
      <c r="E17" s="78">
        <f t="shared" si="3"/>
        <v>686360.54171219259</v>
      </c>
      <c r="F17" s="78">
        <f t="shared" si="3"/>
        <v>763399.30795222463</v>
      </c>
      <c r="G17" s="78">
        <f t="shared" si="3"/>
        <v>858104.55602672673</v>
      </c>
    </row>
    <row r="18" spans="1:7" x14ac:dyDescent="0.25">
      <c r="A18" s="77" t="s">
        <v>201</v>
      </c>
      <c r="B18" s="86"/>
      <c r="C18" s="86">
        <f>C17*$B$6</f>
        <v>408351.21973268152</v>
      </c>
      <c r="D18" s="86">
        <f t="shared" ref="D18:G18" si="4">D17*$B$6</f>
        <v>434291.87362221535</v>
      </c>
      <c r="E18" s="86">
        <f t="shared" si="4"/>
        <v>480452.37919853476</v>
      </c>
      <c r="F18" s="86">
        <f t="shared" si="4"/>
        <v>534379.51556655718</v>
      </c>
      <c r="G18" s="86">
        <f t="shared" si="4"/>
        <v>600673.18921870866</v>
      </c>
    </row>
    <row r="19" spans="1:7" x14ac:dyDescent="0.25">
      <c r="A19" s="59"/>
      <c r="B19" s="59"/>
      <c r="C19" s="75"/>
      <c r="D19" s="75"/>
      <c r="E19" s="75"/>
      <c r="F19" s="75"/>
      <c r="G19" s="59"/>
    </row>
    <row r="20" spans="1:7" x14ac:dyDescent="0.25">
      <c r="A20" s="76" t="s">
        <v>195</v>
      </c>
      <c r="B20" s="87">
        <v>45688</v>
      </c>
      <c r="C20" s="87">
        <v>46053</v>
      </c>
      <c r="D20" s="87">
        <v>46418</v>
      </c>
      <c r="E20" s="87">
        <v>46783</v>
      </c>
      <c r="F20" s="87">
        <v>47149</v>
      </c>
      <c r="G20" s="87">
        <v>47514</v>
      </c>
    </row>
    <row r="21" spans="1:7" x14ac:dyDescent="0.25">
      <c r="A21" s="59" t="s">
        <v>202</v>
      </c>
      <c r="B21" s="63">
        <f>-B3</f>
        <v>-274989.5</v>
      </c>
      <c r="C21" s="59"/>
      <c r="D21" s="59"/>
      <c r="E21" s="59"/>
      <c r="F21" s="59"/>
      <c r="G21" s="59"/>
    </row>
    <row r="22" spans="1:7" x14ac:dyDescent="0.25">
      <c r="A22" s="59" t="s">
        <v>205</v>
      </c>
      <c r="B22" s="59"/>
      <c r="C22" s="60"/>
      <c r="D22" s="60"/>
      <c r="E22" s="60"/>
      <c r="F22" s="60"/>
      <c r="G22" s="63">
        <f>G18</f>
        <v>600673.18921870866</v>
      </c>
    </row>
    <row r="23" spans="1:7" x14ac:dyDescent="0.25">
      <c r="A23" s="59" t="s">
        <v>196</v>
      </c>
      <c r="B23" s="59"/>
      <c r="C23" s="60"/>
      <c r="D23" s="60"/>
      <c r="E23" s="60"/>
      <c r="F23" s="60"/>
      <c r="G23" s="63">
        <f>-B8*G17*B6</f>
        <v>-30033.659460935436</v>
      </c>
    </row>
    <row r="24" spans="1:7" x14ac:dyDescent="0.25">
      <c r="A24" s="59" t="s">
        <v>204</v>
      </c>
      <c r="B24" s="59"/>
      <c r="C24" s="60"/>
      <c r="D24" s="60"/>
      <c r="E24" s="60"/>
      <c r="F24" s="60"/>
      <c r="G24" s="63">
        <f>-B7*G12*B6</f>
        <v>-9093.0473271605697</v>
      </c>
    </row>
    <row r="25" spans="1:7" x14ac:dyDescent="0.25">
      <c r="A25" s="77" t="s">
        <v>206</v>
      </c>
      <c r="B25" s="88">
        <f>SUM(B21:B24)</f>
        <v>-274989.5</v>
      </c>
      <c r="C25" s="88">
        <f t="shared" ref="C25:G25" si="5">SUM(C21:C24)</f>
        <v>0</v>
      </c>
      <c r="D25" s="88">
        <f t="shared" si="5"/>
        <v>0</v>
      </c>
      <c r="E25" s="88">
        <f t="shared" si="5"/>
        <v>0</v>
      </c>
      <c r="F25" s="88">
        <f t="shared" si="5"/>
        <v>0</v>
      </c>
      <c r="G25" s="88">
        <f t="shared" si="5"/>
        <v>561546.48243061267</v>
      </c>
    </row>
    <row r="26" spans="1:7" x14ac:dyDescent="0.25">
      <c r="A26" s="59"/>
      <c r="B26" s="60"/>
      <c r="C26" s="60"/>
      <c r="D26" s="60"/>
      <c r="E26" s="60"/>
      <c r="F26" s="60"/>
      <c r="G26" s="60"/>
    </row>
    <row r="27" spans="1:7" x14ac:dyDescent="0.25">
      <c r="A27" s="80" t="s">
        <v>207</v>
      </c>
      <c r="B27" s="34">
        <f>-G25/B21</f>
        <v>2.0420651785999562</v>
      </c>
      <c r="C27" s="34"/>
      <c r="D27" s="38"/>
      <c r="E27" s="38"/>
    </row>
    <row r="28" spans="1:7" x14ac:dyDescent="0.25">
      <c r="A28" s="80" t="s">
        <v>152</v>
      </c>
      <c r="B28" s="89">
        <f>XIRR(B25:G25,B20:G20)</f>
        <v>0.15340003371238708</v>
      </c>
      <c r="C28" s="89"/>
    </row>
  </sheetData>
  <mergeCells count="1">
    <mergeCell ref="A1:G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Company description</vt:lpstr>
      <vt:lpstr>P&amp;L</vt:lpstr>
      <vt:lpstr>Balance sheet</vt:lpstr>
      <vt:lpstr>Cash flows</vt:lpstr>
      <vt:lpstr>Transaction assumptions</vt:lpstr>
      <vt:lpstr>Historical EV_EBITDA (deals)</vt:lpstr>
      <vt:lpstr>Public EV_EBITDA (public)</vt:lpstr>
      <vt:lpstr>Calculations &amp; S&amp;U</vt:lpstr>
      <vt:lpstr>P&amp;L forecast</vt:lpstr>
      <vt:lpstr>Debt</vt:lpstr>
      <vt:lpstr>WC &amp; CAPEX</vt:lpstr>
      <vt:lpstr>CF forecast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Hayward, James</cp:lastModifiedBy>
  <dcterms:created xsi:type="dcterms:W3CDTF">2025-11-02T09:49:39Z</dcterms:created>
  <dcterms:modified xsi:type="dcterms:W3CDTF">2026-01-19T12:09:27Z</dcterms:modified>
</cp:coreProperties>
</file>